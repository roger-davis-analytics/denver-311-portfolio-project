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Ex2.xml" ContentType="application/vnd.ms-office.chartex+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https://d.docs.live.net/9f14f385e3afcd05/Portfolio/Denver_311/"/>
    </mc:Choice>
  </mc:AlternateContent>
  <xr:revisionPtr revIDLastSave="876" documentId="8_{B39E1447-4F28-431E-A3E7-480C0D4A65CE}" xr6:coauthVersionLast="47" xr6:coauthVersionMax="47" xr10:uidLastSave="{C0CE064C-C99E-4D71-BC76-580E2948F6F2}"/>
  <bookViews>
    <workbookView xWindow="-108" yWindow="-108" windowWidth="23256" windowHeight="12456" tabRatio="457" xr2:uid="{C3B79DC6-3128-4E0F-9B2E-CE0DE07821DA}"/>
  </bookViews>
  <sheets>
    <sheet name="README" sheetId="8" r:id="rId1"/>
    <sheet name="Documentation" sheetId="4" r:id="rId2"/>
    <sheet name="Slice_311" sheetId="11" r:id="rId3"/>
    <sheet name="Visuals" sheetId="5" r:id="rId4"/>
    <sheet name="LOOKUPS" sheetId="3" r:id="rId5"/>
  </sheets>
  <definedNames>
    <definedName name="_xlnm._FilterDatabase" localSheetId="3" hidden="1">Visuals!$E$78:$E$967</definedName>
    <definedName name="_xlchart.v1.1" hidden="1">Visuals!$AO$1</definedName>
    <definedName name="_xlchart.v1.3" hidden="1">Visuals!$AO$1</definedName>
    <definedName name="agencies_cols">_xlfn.ANCHORARRAY(Visuals!$N$2)</definedName>
    <definedName name="agency_count">_xlfn.ANCHORARRAY(Visuals!$AH$2)</definedName>
    <definedName name="agency_cycle">_xlfn.ANCHORARRAY(Visuals!$AN$2)</definedName>
    <definedName name="agency_list">_xlfn.ANCHORARRAY(Visuals!$AG$2)</definedName>
    <definedName name="agency_max">_xlfn.ANCHORARRAY(Visuals!$AM$2)</definedName>
    <definedName name="agency_mean">_xlfn.ANCHORARRAY(Visuals!$AI$2)</definedName>
    <definedName name="agency_min">_xlfn.ANCHORARRAY(Visuals!$AL$2)</definedName>
    <definedName name="agency_std">_xlfn.ANCHORARRAY(Visuals!$AK$2)</definedName>
    <definedName name="all_dates">_xlfn.ANCHORARRAY(Visuals!$AC$2)</definedName>
    <definedName name="daily_volume">_xlfn.ANCHORARRAY(Visuals!$AQ$2)</definedName>
    <definedName name="dates_rows">_xlfn.ANCHORARRAY(Visuals!$M$3)</definedName>
    <definedName name="Duration_header">Visuals!$AO$1</definedName>
    <definedName name="durations">_xlfn.ANCHORARRAY(Visuals!$AO$2)</definedName>
    <definedName name="durations_filtered">_xlfn.LET(     _xlpm.agencies, Slice_311[Agency],     _xlpm.durations, Slice_311[Duration],     _xlpm.dates, Slice_311[Created Date],     _xlpm.selected, selected_agency,     _xlpm.start, window_start,     _xlpm.end, window_end,      _xlpm.rows, _xlfn._xlws.FILTER(         _xlfn.SEQUENCE(ROWS(_xlpm.agencies)),         (_xlpm.agencies = _xlpm.selected) *         (_xlpm.dates &gt;= _xlpm.start) *         (_xlpm.dates &lt;= _xlpm.end),         NA()     ),      _xlpm.durs, INDEX(_xlpm.durations, _xlpm.rows),     _xlfn._xlws.FILTER(_xlpm.durs, ISNUMBER(_xlpm.durs), "") )</definedName>
    <definedName name="helper_zone">Visuals!$M:$AN</definedName>
    <definedName name="kpi_count">Visuals!$C$25</definedName>
    <definedName name="kpi_max">Visuals!$C$24</definedName>
    <definedName name="kpi_mean">Visuals!$C$22</definedName>
    <definedName name="kpi_median">Visuals!$C$23</definedName>
    <definedName name="kpi_pct_open">Visuals!$C$26</definedName>
    <definedName name="scroll_position">Visuals!$AE$2</definedName>
    <definedName name="selected_agency">Visuals!$A$2</definedName>
    <definedName name="title_box_and_whisker">Visuals!$AF$3</definedName>
    <definedName name="title_daily_volume">Visuals!$AF$4</definedName>
    <definedName name="title_histogram">Visuals!$AF$2</definedName>
    <definedName name="title_volume_by_agency">Visuals!$AF$5</definedName>
    <definedName name="window_dates">_xlfn.ANCHORARRAY(Visuals!$AP$2)</definedName>
    <definedName name="window_end">MAX(window_dates)</definedName>
    <definedName name="window_size">Visuals!$AD$2</definedName>
    <definedName name="window_start">MIN(window_dates)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3" l="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AO1" i="5"/>
  <c r="AG2" i="5" a="1"/>
  <c r="AG2" i="5" s="1"/>
  <c r="C26" i="5" a="1"/>
  <c r="C26" i="5" s="1"/>
  <c r="AC2" i="5" a="1"/>
  <c r="AC2" i="5" s="1"/>
  <c r="AQ1" i="5" l="1"/>
  <c r="E48" i="5"/>
  <c r="C48" i="5"/>
  <c r="N2" i="5" l="1" a="1"/>
  <c r="N2" i="5" s="1"/>
  <c r="AP2" i="5" l="1" a="1"/>
  <c r="AM2" i="5" l="1" a="1"/>
  <c r="AM2" i="5" s="1"/>
  <c r="AI2" i="5" a="1"/>
  <c r="AI2" i="5" s="1"/>
  <c r="AQ2" i="5" a="1"/>
  <c r="AQ2" i="5" s="1"/>
  <c r="AP2" i="5"/>
  <c r="K48" i="5" s="1" a="1"/>
  <c r="K48" i="5" s="1"/>
  <c r="AK2" i="5" l="1" a="1"/>
  <c r="AK2" i="5" s="1"/>
  <c r="AJ2" i="5" a="1"/>
  <c r="AJ2" i="5" s="1"/>
  <c r="AL2" i="5" a="1"/>
  <c r="AL2" i="5" s="1"/>
  <c r="AH2" i="5" a="1"/>
  <c r="AH2" i="5" s="1"/>
  <c r="C22" i="5"/>
  <c r="C23" i="5"/>
  <c r="AO2" i="5" a="1"/>
  <c r="AF5" i="5" a="1"/>
  <c r="AF5" i="5" s="1"/>
  <c r="AF2" i="5" a="1"/>
  <c r="AF2" i="5" s="1"/>
  <c r="M3" i="5" a="1"/>
  <c r="AF4" i="5" a="1"/>
  <c r="AF4" i="5" s="1"/>
  <c r="AF3" i="5" a="1"/>
  <c r="AF3" i="5" s="1"/>
  <c r="AN2" i="5" l="1" a="1"/>
  <c r="AN2" i="5" s="1"/>
  <c r="AO2" i="5"/>
  <c r="C24" i="5" s="1"/>
  <c r="M3" i="5"/>
  <c r="N3" i="5" a="1"/>
  <c r="N3" i="5" s="1"/>
  <c r="C25"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409AE4-5AAD-4979-A679-D54044BA2422}" keepAlive="1" name="Query - 311_service_data_2024" description="Connection to the '311_service_data_2024' query in the workbook." type="5" refreshedVersion="8" background="1" saveData="1">
    <dbPr connection="Provider=Microsoft.Mashup.OleDb.1;Data Source=$Workbook$;Location=311_service_data_2024;Extended Properties=&quot;&quot;" command="SELECT * FROM [311_service_data_2024]"/>
  </connection>
  <connection id="2" xr16:uid="{FAA1B965-53A3-409C-9C77-A940233E8033}"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<sst xmlns="http://schemas.openxmlformats.org/spreadsheetml/2006/main" count="2615" uniqueCount="216">
  <si>
    <t>Case Status</t>
  </si>
  <si>
    <t>Longitude</t>
  </si>
  <si>
    <t>Latitude</t>
  </si>
  <si>
    <t>Agency</t>
  </si>
  <si>
    <t>Closed - Approved</t>
  </si>
  <si>
    <t>Safety</t>
  </si>
  <si>
    <t>Closed - Answer Provided</t>
  </si>
  <si>
    <t>Finance</t>
  </si>
  <si>
    <t>Closed - Not Enough Info</t>
  </si>
  <si>
    <t>Public Health &amp; Environment</t>
  </si>
  <si>
    <t>Closed - Transferred to External Agency</t>
  </si>
  <si>
    <t>Closed - Other</t>
  </si>
  <si>
    <t>Parks &amp; Recreation</t>
  </si>
  <si>
    <t>Public Works</t>
  </si>
  <si>
    <t>New</t>
  </si>
  <si>
    <t>Mayor's Office</t>
  </si>
  <si>
    <t>Closed - Duplicate Case</t>
  </si>
  <si>
    <t>Excise &amp; License</t>
  </si>
  <si>
    <t>Routed to Agency</t>
  </si>
  <si>
    <t>Community Planning &amp; Development</t>
  </si>
  <si>
    <t>Closed - Created in Error</t>
  </si>
  <si>
    <t>Closed - No Violation Found</t>
  </si>
  <si>
    <t>Clerk &amp; Recorder</t>
  </si>
  <si>
    <t>City Council</t>
  </si>
  <si>
    <t>Closed - No Response from Customer</t>
  </si>
  <si>
    <t>Tech Services</t>
  </si>
  <si>
    <t>External Agency</t>
  </si>
  <si>
    <t>Closed - Out of Jurisdiction</t>
  </si>
  <si>
    <t>Closed - Spam</t>
  </si>
  <si>
    <t>Closed - Scheduled</t>
  </si>
  <si>
    <t>Closed - Duplicate</t>
  </si>
  <si>
    <t>Closed - Canceled</t>
  </si>
  <si>
    <t>Closed - Resolved by Customer</t>
  </si>
  <si>
    <t>Closed - Service Completed</t>
  </si>
  <si>
    <t>Closed - Not Approved</t>
  </si>
  <si>
    <t>Re-Routed</t>
  </si>
  <si>
    <t>Closed - Transfered to External Agency</t>
  </si>
  <si>
    <t>Closed - Photos</t>
  </si>
  <si>
    <t>In-Progress</t>
  </si>
  <si>
    <t>Created Date</t>
  </si>
  <si>
    <t>Closed Date</t>
  </si>
  <si>
    <t>Duration</t>
  </si>
  <si>
    <t>Is Open</t>
  </si>
  <si>
    <t>Has Location</t>
  </si>
  <si>
    <t>Raw Status</t>
  </si>
  <si>
    <t>Canonical Status</t>
  </si>
  <si>
    <t>Closed - Answered</t>
  </si>
  <si>
    <t>Closed - Insufficient Info</t>
  </si>
  <si>
    <t>Closed - Insufficient Submission</t>
  </si>
  <si>
    <t>Count</t>
  </si>
  <si>
    <t>Column</t>
  </si>
  <si>
    <t>Definition / Intent</t>
  </si>
  <si>
    <t>Structural QA</t>
  </si>
  <si>
    <t>Semantic QA</t>
  </si>
  <si>
    <t>Mapping QA</t>
  </si>
  <si>
    <t>Notes / Flags</t>
  </si>
  <si>
    <t>Canonical status describing case outcome</t>
  </si>
  <si>
    <t>Column present; no formula errors</t>
  </si>
  <si>
    <t>Values must be in canonical set; Closed Date logic must align</t>
  </si>
  <si>
    <t>All raw statuses must map to canonical categories</t>
  </si>
  <si>
    <t>Date case was opened</t>
  </si>
  <si>
    <t>Valid date type; no blanks</t>
  </si>
  <si>
    <t>Must fall within dataset year</t>
  </si>
  <si>
    <t>N/A</t>
  </si>
  <si>
    <t>Any out-of-range dates flagged</t>
  </si>
  <si>
    <t>Date case was closed</t>
  </si>
  <si>
    <t>Valid date or blank</t>
  </si>
  <si>
    <t>Must be ≥ Created Date; no future dates</t>
  </si>
  <si>
    <t>Blank allowed only when case is open</t>
  </si>
  <si>
    <t>Closed Date – Created Date</t>
  </si>
  <si>
    <t>Formula resolves; no errors</t>
  </si>
  <si>
    <t>Must be ≥ 0 for closed cases</t>
  </si>
  <si>
    <t>Boolean open/closed flag</t>
  </si>
  <si>
    <t>Formula resolves</t>
  </si>
  <si>
    <t>TRUE when Closed Date blank; FALSE otherwise</t>
  </si>
  <si>
    <t>Must align with Case Status</t>
  </si>
  <si>
    <t>Any mismatch flagged</t>
  </si>
  <si>
    <t>Canonical city agency</t>
  </si>
  <si>
    <t>Column present</t>
  </si>
  <si>
    <t>Must be one of canonical agencies</t>
  </si>
  <si>
    <t>All raw agencies must map cleanly</t>
  </si>
  <si>
    <t>Agencies are city-wide → no spatial contradictions possible</t>
  </si>
  <si>
    <t>X-coordinate</t>
  </si>
  <si>
    <t>Numeric or blank</t>
  </si>
  <si>
    <t>Must fall within Denver bounding box</t>
  </si>
  <si>
    <t>If blank, Has Location must be FALSE</t>
  </si>
  <si>
    <t>Y-coordinate</t>
  </si>
  <si>
    <t>Same rule as Longitude</t>
  </si>
  <si>
    <t>Boolean location flag</t>
  </si>
  <si>
    <t>TRUE only when both coordinates present</t>
  </si>
  <si>
    <t>No TRUE values with missing coords</t>
  </si>
  <si>
    <t>Council District</t>
  </si>
  <si>
    <t>District derived from coordinates</t>
  </si>
  <si>
    <t>Must be integer 1–11 or blank</t>
  </si>
  <si>
    <t>Must map from coordinates when Has Location = TRUE</t>
  </si>
  <si>
    <t>Blank only when Has Location = FALSE</t>
  </si>
  <si>
    <t>311</t>
  </si>
  <si>
    <t>Mean:</t>
  </si>
  <si>
    <t>Median:</t>
  </si>
  <si>
    <t>Max:</t>
  </si>
  <si>
    <t>Count:</t>
  </si>
  <si>
    <t>% Open:</t>
  </si>
  <si>
    <t>KPI</t>
  </si>
  <si>
    <t>Formula</t>
  </si>
  <si>
    <t>Select Agency</t>
  </si>
  <si>
    <t>All Dates</t>
  </si>
  <si>
    <t>Window Size</t>
  </si>
  <si>
    <t>Window Dates</t>
  </si>
  <si>
    <t>Scroll Position</t>
  </si>
  <si>
    <t>Chart Titles</t>
  </si>
  <si>
    <t/>
  </si>
  <si>
    <t>Closed - In Compliance</t>
  </si>
  <si>
    <t>Approved</t>
  </si>
  <si>
    <t>Spam</t>
  </si>
  <si>
    <t>Intake</t>
  </si>
  <si>
    <t>Customer Updated</t>
  </si>
  <si>
    <t>Closed - Answer Provided to Duplicate</t>
  </si>
  <si>
    <t>Referred Out</t>
  </si>
  <si>
    <t>Closed - Owner Abated</t>
  </si>
  <si>
    <t>Closed - Cancelled</t>
  </si>
  <si>
    <t>Completed</t>
  </si>
  <si>
    <t>On Hold (Internal)</t>
  </si>
  <si>
    <t>Closed - Auth Obtained</t>
  </si>
  <si>
    <t>Pending Closure</t>
  </si>
  <si>
    <t>Closed - Cannot Complete</t>
  </si>
  <si>
    <t>Re-Opened</t>
  </si>
  <si>
    <t>Closed - No Graffiti</t>
  </si>
  <si>
    <t>Closed - Snow Advisory</t>
  </si>
  <si>
    <t>Unknown</t>
  </si>
  <si>
    <t>Is_MissingAgency_ValidCase</t>
  </si>
  <si>
    <t>Is_Continuation</t>
  </si>
  <si>
    <t>Window Size:</t>
  </si>
  <si>
    <t>Current Date:</t>
  </si>
  <si>
    <t>Mean_Duration</t>
  </si>
  <si>
    <t>StdDev_Duration</t>
  </si>
  <si>
    <t>Min_Duration</t>
  </si>
  <si>
    <t>Max_Duration</t>
  </si>
  <si>
    <t>Cycle</t>
  </si>
  <si>
    <t>Window Position:</t>
  </si>
  <si>
    <t>agencies_cols</t>
  </si>
  <si>
    <t>=Visuals!$N$2#</t>
  </si>
  <si>
    <t>agency_count</t>
  </si>
  <si>
    <t>=Visuals!$AL$2#</t>
  </si>
  <si>
    <t>agency_cycle</t>
  </si>
  <si>
    <t>agency_list</t>
  </si>
  <si>
    <t>=Visuals!$AK$2#</t>
  </si>
  <si>
    <t>agency_max</t>
  </si>
  <si>
    <t>=Visuals!$AP$2#</t>
  </si>
  <si>
    <t>agency_mean</t>
  </si>
  <si>
    <t>=Visuals!$AM$2#</t>
  </si>
  <si>
    <t>agency_min</t>
  </si>
  <si>
    <t>=Visuals!$AO$2#</t>
  </si>
  <si>
    <t>agency_std</t>
  </si>
  <si>
    <t>=Visuals!$AN$2#</t>
  </si>
  <si>
    <t>all_dates</t>
  </si>
  <si>
    <t>daily_volume</t>
  </si>
  <si>
    <t>=Visuals!$AG$2#</t>
  </si>
  <si>
    <t>dates_rows</t>
  </si>
  <si>
    <t>=Visuals!$M$3#</t>
  </si>
  <si>
    <t>durations</t>
  </si>
  <si>
    <t>=Visuals!$AC$2#</t>
  </si>
  <si>
    <t>helper_zone</t>
  </si>
  <si>
    <t>kpi_count</t>
  </si>
  <si>
    <t>=Visuals!$C$25</t>
  </si>
  <si>
    <t>kpi_max</t>
  </si>
  <si>
    <t>=Visuals!$C$24</t>
  </si>
  <si>
    <t>kpi_mean</t>
  </si>
  <si>
    <t>=Visuals!$C$22</t>
  </si>
  <si>
    <t>kpi_median</t>
  </si>
  <si>
    <t>=Visuals!$C$23</t>
  </si>
  <si>
    <t>kpi_pct_open</t>
  </si>
  <si>
    <t>=Visuals!$C$26</t>
  </si>
  <si>
    <t>scroll_position</t>
  </si>
  <si>
    <t>selected_agency</t>
  </si>
  <si>
    <t>=Visuals!$A$2</t>
  </si>
  <si>
    <t>title_box_and_whisker</t>
  </si>
  <si>
    <t>title_daily_volume</t>
  </si>
  <si>
    <t>title_histogram</t>
  </si>
  <si>
    <t>window_dates</t>
  </si>
  <si>
    <t>window_end</t>
  </si>
  <si>
    <t>=MAX(window_dates)</t>
  </si>
  <si>
    <t>window_size</t>
  </si>
  <si>
    <t>=Visuals!$AE$2</t>
  </si>
  <si>
    <t>window_start</t>
  </si>
  <si>
    <t>=MIN(window_dates)</t>
  </si>
  <si>
    <t>Name</t>
  </si>
  <si>
    <t>Dependencies</t>
  </si>
  <si>
    <t>RefersTo</t>
  </si>
  <si>
    <t>=Visuals!$AH$2#</t>
  </si>
  <si>
    <t>=Visuals!$AI$2#</t>
  </si>
  <si>
    <t>Duration_header</t>
  </si>
  <si>
    <t>=Visuals!$AF$3</t>
  </si>
  <si>
    <t>=Visuals!$AF$4</t>
  </si>
  <si>
    <t>=Visuals!$AF$2</t>
  </si>
  <si>
    <t>title_volume_by_agency</t>
  </si>
  <si>
    <t>=Visuals!$AF$5</t>
  </si>
  <si>
    <t>=Visuals!$AD$2</t>
  </si>
  <si>
    <t>District 7</t>
  </si>
  <si>
    <t>District 5</t>
  </si>
  <si>
    <t>District 3</t>
  </si>
  <si>
    <t>District 10</t>
  </si>
  <si>
    <t>District 8</t>
  </si>
  <si>
    <t>District 1</t>
  </si>
  <si>
    <t>District 4</t>
  </si>
  <si>
    <t>District 11</t>
  </si>
  <si>
    <t>District 6</t>
  </si>
  <si>
    <t>District 9</t>
  </si>
  <si>
    <t>District 2</t>
  </si>
  <si>
    <t>Median_Duration</t>
  </si>
  <si>
    <t>=Visuals!$AQ$2#</t>
  </si>
  <si>
    <t>durations_filtered</t>
  </si>
  <si>
    <t>=Visuals!$M:$AN</t>
  </si>
  <si>
    <t>#N/A (via NA()) for all open cases</t>
  </si>
  <si>
    <r>
      <t>Duplicate</t>
    </r>
    <r>
      <rPr>
        <sz val="12"/>
        <color theme="1"/>
        <rFont val="Segoe UI"/>
        <family val="2"/>
      </rPr>
      <t xml:space="preserve"> + </t>
    </r>
    <r>
      <rPr>
        <i/>
        <sz val="12"/>
        <color theme="1"/>
        <rFont val="Segoe UI"/>
        <family val="2"/>
      </rPr>
      <t>Duplicate Case</t>
    </r>
    <r>
      <rPr>
        <sz val="12"/>
        <color theme="1"/>
        <rFont val="Segoe UI"/>
        <family val="2"/>
      </rPr>
      <t xml:space="preserve"> → </t>
    </r>
    <r>
      <rPr>
        <b/>
        <sz val="12"/>
        <color theme="1"/>
        <rFont val="Segoe UI"/>
        <family val="2"/>
      </rPr>
      <t>Cancelled</t>
    </r>
  </si>
  <si>
    <t>=Visuals!$AO$1</t>
  </si>
  <si>
    <t xml:space="preserve">= Slice_311[Agency]  Slice_311[Duration]  Slice_311[Created Date]  selected_agency  window_start  window_end          SEQUENCE(ROWS(agencies))          (agencies = selected) *         (dates &gt;= start) *         (dates &lt;= end)          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</si>
</sst>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
    <numFmt numFmtId="166" formatCode="0.0%"/>
  </numFmts>
  <fonts count="32">
    <font>
      <sz val="12"/>
      <color theme="1"/>
      <name val="Aptos Narrow"/>
      <family val="2"/>
      <scheme val="minor"/>
    </font>
    <font>
      <sz val="12"/>
      <color theme="1"/>
      <name val="Segoe UI"/>
      <family val="2"/>
    </font>
    <font>
      <sz val="12"/>
      <color theme="1"/>
      <name val="Segoe UI"/>
      <family val="2"/>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rial Unicode MS"/>
    </font>
    <font>
      <b/>
      <sz val="13.5"/>
      <color theme="1"/>
      <name val="Aptos Narrow"/>
      <family val="2"/>
      <scheme val="minor"/>
    </font>
    <font>
      <b/>
      <sz val="24"/>
      <color theme="1"/>
      <name val="Aptos Narrow"/>
      <family val="2"/>
      <scheme val="minor"/>
    </font>
    <font>
      <b/>
      <sz val="10"/>
      <color theme="0"/>
      <name val="Arial Unicode MS"/>
    </font>
    <font>
      <sz val="13"/>
      <color theme="1"/>
      <name val="Calibri"/>
      <family val="2"/>
    </font>
    <font>
      <b/>
      <sz val="13"/>
      <color theme="1"/>
      <name val="Segoe UI"/>
      <family val="2"/>
    </font>
    <font>
      <b/>
      <sz val="12"/>
      <color theme="1"/>
      <name val="Segoe UI"/>
      <family val="2"/>
    </font>
    <font>
      <sz val="12"/>
      <color theme="1"/>
      <name val="Segoe UI"/>
      <family val="2"/>
    </font>
    <font>
      <i/>
      <sz val="12"/>
      <color theme="1"/>
      <name val="Segoe UI"/>
      <family val="2"/>
    </font>
    <font>
      <b/>
      <sz val="14"/>
      <color theme="1"/>
      <name val="Segoe UI"/>
      <family val="2"/>
    </font>
    <font>
      <b/>
      <sz val="12"/>
      <color theme="0"/>
      <name val="Segoe UI"/>
      <family val="2"/>
    </font>
    <font>
      <sz val="10"/>
      <color theme="1"/>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2" tint="-9.9978637043366805E-2"/>
      </right>
      <top/>
      <bottom/>
      <diagonal/>
    </border>
    <border>
      <left style="thin">
        <color theme="2" tint="-9.9978637043366805E-2"/>
      </left>
      <right/>
      <top style="thin">
        <color theme="2" tint="-9.9978637043366805E-2"/>
      </top>
      <bottom/>
      <diagonal/>
    </border>
    <border>
      <left/>
      <right style="thin">
        <color theme="2" tint="-9.9978637043366805E-2"/>
      </right>
      <top style="thin">
        <color theme="2" tint="-9.9978637043366805E-2"/>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hair">
        <color theme="1" tint="4.9989318521683403E-2"/>
      </left>
      <right style="hair">
        <color theme="0" tint="-0.249977111117893"/>
      </right>
      <top style="hair">
        <color theme="1" tint="4.9989318521683403E-2"/>
      </top>
      <bottom style="hair">
        <color theme="0" tint="-0.249977111117893"/>
      </bottom>
      <diagonal/>
    </border>
    <border>
      <left style="hair">
        <color theme="0" tint="-0.249977111117893"/>
      </left>
      <right style="hair">
        <color theme="0" tint="-0.249977111117893"/>
      </right>
      <top style="hair">
        <color theme="1" tint="4.9989318521683403E-2"/>
      </top>
      <bottom style="hair">
        <color theme="0" tint="-0.249977111117893"/>
      </bottom>
      <diagonal/>
    </border>
    <border>
      <left style="hair">
        <color theme="0" tint="-0.249977111117893"/>
      </left>
      <right style="hair">
        <color theme="1" tint="4.9989318521683403E-2"/>
      </right>
      <top style="hair">
        <color theme="1" tint="4.9989318521683403E-2"/>
      </top>
      <bottom style="hair">
        <color theme="0" tint="-0.249977111117893"/>
      </bottom>
      <diagonal/>
    </border>
    <border>
      <left style="hair">
        <color theme="1" tint="4.9989318521683403E-2"/>
      </left>
      <right style="hair">
        <color theme="0" tint="-0.249977111117893"/>
      </right>
      <top style="hair">
        <color theme="0" tint="-0.249977111117893"/>
      </top>
      <bottom style="hair">
        <color theme="0" tint="-0.249977111117893"/>
      </bottom>
      <diagonal/>
    </border>
    <border>
      <left style="hair">
        <color theme="0" tint="-0.249977111117893"/>
      </left>
      <right style="hair">
        <color theme="1" tint="4.9989318521683403E-2"/>
      </right>
      <top style="hair">
        <color theme="0" tint="-0.249977111117893"/>
      </top>
      <bottom style="hair">
        <color theme="0" tint="-0.249977111117893"/>
      </bottom>
      <diagonal/>
    </border>
    <border>
      <left style="hair">
        <color theme="1" tint="4.9989318521683403E-2"/>
      </left>
      <right style="hair">
        <color theme="0" tint="-0.249977111117893"/>
      </right>
      <top style="hair">
        <color theme="0" tint="-0.249977111117893"/>
      </top>
      <bottom style="hair">
        <color theme="1" tint="4.9989318521683403E-2"/>
      </bottom>
      <diagonal/>
    </border>
    <border>
      <left style="hair">
        <color theme="0" tint="-0.249977111117893"/>
      </left>
      <right style="hair">
        <color theme="0" tint="-0.249977111117893"/>
      </right>
      <top style="hair">
        <color theme="0" tint="-0.249977111117893"/>
      </top>
      <bottom style="hair">
        <color theme="1" tint="4.9989318521683403E-2"/>
      </bottom>
      <diagonal/>
    </border>
    <border>
      <left style="hair">
        <color theme="0" tint="-0.249977111117893"/>
      </left>
      <right style="hair">
        <color theme="1" tint="4.9989318521683403E-2"/>
      </right>
      <top style="hair">
        <color theme="0" tint="-0.249977111117893"/>
      </top>
      <bottom style="hair">
        <color theme="1" tint="4.9989318521683403E-2"/>
      </bottom>
      <diagonal/>
    </border>
  </borders>
  <cellStyleXfs count="4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cellStyleXfs>
  <cellXfs count="77">
    <xf numFmtId="0" fontId="0" fillId="0" borderId="0" xfId="0"/>
    <xf numFmtId="14" fontId="0" fillId="0" borderId="0" xfId="0" applyNumberFormat="1"/>
    <xf numFmtId="1" fontId="0" fillId="0" borderId="0" xfId="0" applyNumberFormat="1"/>
    <xf numFmtId="164" fontId="0" fillId="0" borderId="0" xfId="0" applyNumberFormat="1"/>
    <xf numFmtId="0" fontId="20" fillId="0" borderId="0" xfId="0" applyFont="1" applyAlignment="1">
      <alignment vertical="center"/>
    </xf>
    <xf numFmtId="0" fontId="18" fillId="0" borderId="0" xfId="0" applyFont="1"/>
    <xf numFmtId="0" fontId="0" fillId="0" borderId="10" xfId="0" applyBorder="1"/>
    <xf numFmtId="49" fontId="0" fillId="0" borderId="0" xfId="0" applyNumberFormat="1"/>
    <xf numFmtId="0" fontId="21" fillId="0" borderId="0" xfId="0" applyFont="1" applyAlignment="1">
      <alignment vertical="center"/>
    </xf>
    <xf numFmtId="0" fontId="0" fillId="0" borderId="0" xfId="0" applyAlignment="1">
      <alignment horizontal="left" vertical="center" indent="1"/>
    </xf>
    <xf numFmtId="0" fontId="18" fillId="0" borderId="0" xfId="0" applyFont="1" applyAlignment="1">
      <alignment horizontal="left" vertical="center" indent="1"/>
    </xf>
    <xf numFmtId="0" fontId="22" fillId="0" borderId="0" xfId="0" applyFont="1" applyAlignment="1">
      <alignment vertical="center"/>
    </xf>
    <xf numFmtId="0" fontId="0" fillId="34" borderId="15" xfId="0" applyFill="1" applyBorder="1"/>
    <xf numFmtId="0" fontId="0" fillId="0" borderId="18" xfId="0" applyBorder="1"/>
    <xf numFmtId="1" fontId="0" fillId="0" borderId="18" xfId="0" applyNumberFormat="1" applyBorder="1"/>
    <xf numFmtId="1" fontId="0" fillId="34" borderId="15" xfId="0" applyNumberFormat="1" applyFill="1" applyBorder="1"/>
    <xf numFmtId="0" fontId="0" fillId="0" borderId="15" xfId="0" applyBorder="1"/>
    <xf numFmtId="14" fontId="0" fillId="34" borderId="15" xfId="0" applyNumberFormat="1" applyFill="1" applyBorder="1"/>
    <xf numFmtId="164" fontId="0" fillId="34" borderId="15" xfId="0" applyNumberFormat="1" applyFill="1" applyBorder="1"/>
    <xf numFmtId="14" fontId="0" fillId="0" borderId="15" xfId="0" applyNumberFormat="1" applyBorder="1"/>
    <xf numFmtId="1" fontId="0" fillId="0" borderId="15" xfId="0" applyNumberFormat="1" applyBorder="1"/>
    <xf numFmtId="164" fontId="0" fillId="0" borderId="15" xfId="0" applyNumberFormat="1" applyBorder="1"/>
    <xf numFmtId="14" fontId="15" fillId="33" borderId="20" xfId="0" applyNumberFormat="1" applyFont="1" applyFill="1" applyBorder="1"/>
    <xf numFmtId="1" fontId="15" fillId="33" borderId="20" xfId="0" applyNumberFormat="1" applyFont="1" applyFill="1" applyBorder="1"/>
    <xf numFmtId="49" fontId="15" fillId="33" borderId="20" xfId="0" applyNumberFormat="1" applyFont="1" applyFill="1" applyBorder="1"/>
    <xf numFmtId="164" fontId="15" fillId="33" borderId="20" xfId="0" applyNumberFormat="1" applyFont="1" applyFill="1" applyBorder="1"/>
    <xf numFmtId="0" fontId="15" fillId="33" borderId="20" xfId="0" applyFont="1" applyFill="1" applyBorder="1"/>
    <xf numFmtId="14" fontId="0" fillId="0" borderId="18" xfId="0" applyNumberFormat="1" applyBorder="1"/>
    <xf numFmtId="164" fontId="0" fillId="0" borderId="18" xfId="0" applyNumberFormat="1" applyBorder="1"/>
    <xf numFmtId="0" fontId="23" fillId="33" borderId="20" xfId="0" applyFont="1" applyFill="1" applyBorder="1" applyAlignment="1">
      <alignment vertical="center"/>
    </xf>
    <xf numFmtId="0" fontId="24" fillId="0" borderId="0" xfId="0" applyFont="1"/>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26" fillId="0" borderId="25" xfId="0" applyFont="1" applyBorder="1" applyAlignment="1">
      <alignment vertical="center"/>
    </xf>
    <xf numFmtId="0" fontId="27" fillId="0" borderId="21" xfId="0" applyFont="1" applyBorder="1" applyAlignment="1">
      <alignment vertical="center" wrapText="1"/>
    </xf>
    <xf numFmtId="0" fontId="28" fillId="0" borderId="26" xfId="0" applyFont="1" applyBorder="1" applyAlignment="1">
      <alignment vertical="center" wrapText="1"/>
    </xf>
    <xf numFmtId="0" fontId="27" fillId="0" borderId="26" xfId="0" applyFont="1" applyBorder="1" applyAlignment="1">
      <alignment vertical="center" wrapText="1"/>
    </xf>
    <xf numFmtId="0" fontId="26" fillId="0" borderId="27" xfId="0" applyFont="1" applyBorder="1" applyAlignment="1">
      <alignment vertical="center"/>
    </xf>
    <xf numFmtId="0" fontId="27" fillId="0" borderId="28" xfId="0" applyFont="1" applyBorder="1" applyAlignment="1">
      <alignment vertical="center" wrapText="1"/>
    </xf>
    <xf numFmtId="0" fontId="27" fillId="0" borderId="29" xfId="0" applyFont="1" applyBorder="1" applyAlignment="1">
      <alignment vertical="center" wrapText="1"/>
    </xf>
    <xf numFmtId="0" fontId="29" fillId="0" borderId="0" xfId="0" applyFont="1" applyAlignment="1">
      <alignment horizontal="center"/>
    </xf>
    <xf numFmtId="0" fontId="27" fillId="0" borderId="13" xfId="0" quotePrefix="1" applyFont="1" applyBorder="1"/>
    <xf numFmtId="14" fontId="2" fillId="0" borderId="0" xfId="0" applyNumberFormat="1" applyFont="1"/>
    <xf numFmtId="0" fontId="2" fillId="0" borderId="0" xfId="0" applyFont="1"/>
    <xf numFmtId="0" fontId="30" fillId="33" borderId="17" xfId="0" applyFont="1" applyFill="1" applyBorder="1" applyAlignment="1">
      <alignment horizontal="center" vertical="center"/>
    </xf>
    <xf numFmtId="1" fontId="30" fillId="33" borderId="18" xfId="0" applyNumberFormat="1" applyFont="1" applyFill="1" applyBorder="1" applyAlignment="1">
      <alignment horizontal="center" vertical="center"/>
    </xf>
    <xf numFmtId="165" fontId="30" fillId="33" borderId="18" xfId="0" applyNumberFormat="1" applyFont="1" applyFill="1" applyBorder="1" applyAlignment="1">
      <alignment horizontal="center" vertical="center"/>
    </xf>
    <xf numFmtId="0" fontId="30" fillId="33" borderId="19" xfId="0" applyFont="1" applyFill="1" applyBorder="1" applyAlignment="1">
      <alignment horizontal="center" vertical="center"/>
    </xf>
    <xf numFmtId="1" fontId="2" fillId="0" borderId="0" xfId="0" applyNumberFormat="1" applyFont="1"/>
    <xf numFmtId="0" fontId="2" fillId="0" borderId="0" xfId="0" quotePrefix="1" applyFont="1"/>
    <xf numFmtId="0" fontId="2" fillId="0" borderId="0" xfId="0" applyFont="1" applyAlignment="1">
      <alignment vertical="center"/>
    </xf>
    <xf numFmtId="0" fontId="31" fillId="0" borderId="0" xfId="0" applyFont="1" applyAlignment="1">
      <alignment vertical="center"/>
    </xf>
    <xf numFmtId="0" fontId="31" fillId="34" borderId="17" xfId="0" applyFont="1" applyFill="1" applyBorder="1" applyAlignment="1">
      <alignment vertical="center"/>
    </xf>
    <xf numFmtId="0" fontId="2" fillId="34" borderId="18" xfId="0" applyFont="1" applyFill="1" applyBorder="1"/>
    <xf numFmtId="165" fontId="2" fillId="34" borderId="18" xfId="0" applyNumberFormat="1" applyFont="1" applyFill="1" applyBorder="1"/>
    <xf numFmtId="1" fontId="2" fillId="34" borderId="18" xfId="0" applyNumberFormat="1" applyFont="1" applyFill="1" applyBorder="1"/>
    <xf numFmtId="0" fontId="2" fillId="34" borderId="19" xfId="0" applyFont="1" applyFill="1" applyBorder="1"/>
    <xf numFmtId="0" fontId="2" fillId="0" borderId="17" xfId="0" applyFont="1" applyBorder="1"/>
    <xf numFmtId="0" fontId="2" fillId="0" borderId="18" xfId="0" applyFont="1" applyBorder="1"/>
    <xf numFmtId="165" fontId="2" fillId="0" borderId="18" xfId="0" applyNumberFormat="1" applyFont="1" applyBorder="1"/>
    <xf numFmtId="1" fontId="2" fillId="0" borderId="18" xfId="0" applyNumberFormat="1" applyFont="1" applyBorder="1"/>
    <xf numFmtId="0" fontId="2" fillId="0" borderId="19" xfId="0" applyFont="1" applyBorder="1"/>
    <xf numFmtId="0" fontId="2" fillId="34" borderId="17" xfId="0" applyFont="1" applyFill="1" applyBorder="1"/>
    <xf numFmtId="0" fontId="2" fillId="34" borderId="14" xfId="0" applyFont="1" applyFill="1" applyBorder="1"/>
    <xf numFmtId="0" fontId="2" fillId="34" borderId="15" xfId="0" applyFont="1" applyFill="1" applyBorder="1"/>
    <xf numFmtId="165" fontId="2" fillId="34" borderId="15" xfId="0" applyNumberFormat="1" applyFont="1" applyFill="1" applyBorder="1"/>
    <xf numFmtId="1" fontId="2" fillId="34" borderId="15" xfId="0" applyNumberFormat="1" applyFont="1" applyFill="1" applyBorder="1"/>
    <xf numFmtId="0" fontId="2" fillId="34" borderId="16" xfId="0" applyFont="1" applyFill="1" applyBorder="1"/>
    <xf numFmtId="165" fontId="2" fillId="0" borderId="0" xfId="0" applyNumberFormat="1" applyFont="1"/>
    <xf numFmtId="0" fontId="26" fillId="0" borderId="0" xfId="0" applyFont="1"/>
    <xf numFmtId="0" fontId="26" fillId="0" borderId="11" xfId="0" applyFont="1" applyBorder="1" applyAlignment="1">
      <alignment horizontal="center" vertical="center"/>
    </xf>
    <xf numFmtId="0" fontId="26" fillId="0" borderId="12" xfId="0" applyFont="1" applyBorder="1" applyAlignment="1">
      <alignment horizontal="center" vertical="center"/>
    </xf>
    <xf numFmtId="166" fontId="31" fillId="0" borderId="0" xfId="0" applyNumberFormat="1" applyFont="1"/>
    <xf numFmtId="0" fontId="2" fillId="0" borderId="0" xfId="0" applyFont="1" applyAlignment="1">
      <alignment horizontal="right"/>
    </xf>
    <xf numFmtId="0" fontId="31" fillId="0" borderId="0" xfId="0" applyFont="1" applyAlignment="1">
      <alignment horizontal="right" vertical="center"/>
    </xf>
    <xf numFmtId="0" fontId="2" fillId="0" borderId="0" xfId="0" applyFont="1" applyAlignment="1">
      <alignment horizontal="righ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0" formatCode="General"/>
    </dxf>
    <dxf>
      <numFmt numFmtId="30" formatCode="@"/>
    </dxf>
    <dxf>
      <font>
        <b val="0"/>
        <i val="0"/>
        <strike val="0"/>
        <condense val="0"/>
        <extend val="0"/>
        <outline val="0"/>
        <shadow val="0"/>
        <u val="none"/>
        <vertAlign val="baseline"/>
        <sz val="12"/>
        <color theme="1"/>
        <name val="Aptos Narrow"/>
        <family val="2"/>
        <scheme val="minor"/>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0.000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64" formatCode="0.00000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 formatCode="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9" formatCode="m/d/yy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19" formatCode="m/d/yy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Narrow"/>
        <family val="2"/>
        <scheme val="minor"/>
      </font>
    </dxf>
    <dxf>
      <border outline="0">
        <bottom style="thin">
          <color theme="4" tint="0.39997558519241921"/>
        </bottom>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s>
  <tableStyles count="0" defaultTableStyle="TableStyleMedium2" defaultPivotStyle="PivotStyleLight16"/>
  <colors>
    <mruColors>
      <color rgb="FF7A70C0"/>
      <color rgb="FFEECA3B"/>
      <color rgb="FF54A24B"/>
      <color rgb="FF72B7B2"/>
      <color rgb="FFE45756"/>
      <color rgb="FF4C78A8"/>
      <color rgb="FFF58518"/>
      <color rgb="FFB279A2"/>
      <color rgb="FFFF9DA6"/>
      <color rgb="FF9D75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Visuals!$N$2</c:f>
              <c:strCache>
                <c:ptCount val="1"/>
                <c:pt idx="0">
                  <c:v>311</c:v>
                </c:pt>
              </c:strCache>
            </c:strRef>
          </c:tx>
          <c:spPr>
            <a:solidFill>
              <a:srgbClr val="4C78A8"/>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Visuals!$N$3:$N$32</c:f>
              <c:numCache>
                <c:formatCode>General</c:formatCode>
                <c:ptCount val="30"/>
                <c:pt idx="0">
                  <c:v>47</c:v>
                </c:pt>
                <c:pt idx="1">
                  <c:v>0</c:v>
                </c:pt>
                <c:pt idx="2">
                  <c:v>0</c:v>
                </c:pt>
                <c:pt idx="3">
                  <c:v>0</c:v>
                </c:pt>
                <c:pt idx="4">
                  <c:v>0</c:v>
                </c:pt>
                <c:pt idx="5">
                  <c:v>0</c:v>
                </c:pt>
                <c:pt idx="6">
                  <c:v>0</c:v>
                </c:pt>
              </c:numCache>
            </c:numRef>
          </c:val>
          <c:extLst>
            <c:ext xmlns:c16="http://schemas.microsoft.com/office/drawing/2014/chart" uri="{C3380CC4-5D6E-409C-BE32-E72D297353CC}">
              <c16:uniqueId val="{00000000-2609-4D03-8F19-4C47E1900133}"/>
            </c:ext>
          </c:extLst>
        </c:ser>
        <c:ser>
          <c:idx val="1"/>
          <c:order val="1"/>
          <c:tx>
            <c:strRef>
              <c:f>Visuals!$O$2</c:f>
              <c:strCache>
                <c:ptCount val="1"/>
                <c:pt idx="0">
                  <c:v>City Council</c:v>
                </c:pt>
              </c:strCache>
            </c:strRef>
          </c:tx>
          <c:spPr>
            <a:solidFill>
              <a:srgbClr val="F58518"/>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Visuals!$O$3:$O$32</c:f>
              <c:numCache>
                <c:formatCode>General</c:formatCode>
                <c:ptCount val="30"/>
                <c:pt idx="0">
                  <c:v>9</c:v>
                </c:pt>
                <c:pt idx="1">
                  <c:v>0</c:v>
                </c:pt>
                <c:pt idx="2">
                  <c:v>0</c:v>
                </c:pt>
                <c:pt idx="3">
                  <c:v>0</c:v>
                </c:pt>
                <c:pt idx="4">
                  <c:v>0</c:v>
                </c:pt>
                <c:pt idx="5">
                  <c:v>0</c:v>
                </c:pt>
                <c:pt idx="6">
                  <c:v>0</c:v>
                </c:pt>
              </c:numCache>
            </c:numRef>
          </c:val>
          <c:extLst>
            <c:ext xmlns:c16="http://schemas.microsoft.com/office/drawing/2014/chart" uri="{C3380CC4-5D6E-409C-BE32-E72D297353CC}">
              <c16:uniqueId val="{00000001-2609-4D03-8F19-4C47E1900133}"/>
            </c:ext>
          </c:extLst>
        </c:ser>
        <c:ser>
          <c:idx val="2"/>
          <c:order val="2"/>
          <c:tx>
            <c:strRef>
              <c:f>Visuals!$P$2</c:f>
              <c:strCache>
                <c:ptCount val="1"/>
                <c:pt idx="0">
                  <c:v>Clerk &amp; Recorder</c:v>
                </c:pt>
              </c:strCache>
            </c:strRef>
          </c:tx>
          <c:spPr>
            <a:solidFill>
              <a:srgbClr val="E45756"/>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Visuals!$P$3:$P$32</c:f>
              <c:numCache>
                <c:formatCode>General</c:formatCode>
                <c:ptCount val="30"/>
                <c:pt idx="0">
                  <c:v>14</c:v>
                </c:pt>
                <c:pt idx="1">
                  <c:v>0</c:v>
                </c:pt>
                <c:pt idx="2">
                  <c:v>0</c:v>
                </c:pt>
                <c:pt idx="3">
                  <c:v>0</c:v>
                </c:pt>
                <c:pt idx="4">
                  <c:v>0</c:v>
                </c:pt>
                <c:pt idx="5">
                  <c:v>0</c:v>
                </c:pt>
                <c:pt idx="6">
                  <c:v>0</c:v>
                </c:pt>
              </c:numCache>
            </c:numRef>
          </c:val>
          <c:extLst>
            <c:ext xmlns:c16="http://schemas.microsoft.com/office/drawing/2014/chart" uri="{C3380CC4-5D6E-409C-BE32-E72D297353CC}">
              <c16:uniqueId val="{00000002-2609-4D03-8F19-4C47E1900133}"/>
            </c:ext>
          </c:extLst>
        </c:ser>
        <c:ser>
          <c:idx val="3"/>
          <c:order val="3"/>
          <c:tx>
            <c:strRef>
              <c:f>Visuals!$Q$2</c:f>
              <c:strCache>
                <c:ptCount val="1"/>
                <c:pt idx="0">
                  <c:v>Community Planning &amp; Development</c:v>
                </c:pt>
              </c:strCache>
            </c:strRef>
          </c:tx>
          <c:spPr>
            <a:solidFill>
              <a:srgbClr val="72B7B2"/>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Visuals!$Q$3:$Q$32</c:f>
              <c:numCache>
                <c:formatCode>General</c:formatCode>
                <c:ptCount val="30"/>
                <c:pt idx="0">
                  <c:v>14</c:v>
                </c:pt>
                <c:pt idx="1">
                  <c:v>0</c:v>
                </c:pt>
                <c:pt idx="2">
                  <c:v>0</c:v>
                </c:pt>
                <c:pt idx="3">
                  <c:v>0</c:v>
                </c:pt>
                <c:pt idx="4">
                  <c:v>0</c:v>
                </c:pt>
                <c:pt idx="5">
                  <c:v>0</c:v>
                </c:pt>
                <c:pt idx="6">
                  <c:v>0</c:v>
                </c:pt>
              </c:numCache>
            </c:numRef>
          </c:val>
          <c:extLst>
            <c:ext xmlns:c16="http://schemas.microsoft.com/office/drawing/2014/chart" uri="{C3380CC4-5D6E-409C-BE32-E72D297353CC}">
              <c16:uniqueId val="{00000003-2609-4D03-8F19-4C47E1900133}"/>
            </c:ext>
          </c:extLst>
        </c:ser>
        <c:ser>
          <c:idx val="4"/>
          <c:order val="4"/>
          <c:tx>
            <c:strRef>
              <c:f>Visuals!$R$2</c:f>
              <c:strCache>
                <c:ptCount val="1"/>
                <c:pt idx="0">
                  <c:v>Excise &amp; License</c:v>
                </c:pt>
              </c:strCache>
            </c:strRef>
          </c:tx>
          <c:spPr>
            <a:solidFill>
              <a:srgbClr val="54A24B"/>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Visuals!$R$3:$R$32</c:f>
              <c:numCache>
                <c:formatCode>General</c:formatCode>
                <c:ptCount val="30"/>
                <c:pt idx="0">
                  <c:v>58</c:v>
                </c:pt>
                <c:pt idx="1">
                  <c:v>0</c:v>
                </c:pt>
                <c:pt idx="2">
                  <c:v>0</c:v>
                </c:pt>
                <c:pt idx="3">
                  <c:v>0</c:v>
                </c:pt>
                <c:pt idx="4">
                  <c:v>0</c:v>
                </c:pt>
                <c:pt idx="5">
                  <c:v>0</c:v>
                </c:pt>
                <c:pt idx="6">
                  <c:v>0</c:v>
                </c:pt>
              </c:numCache>
            </c:numRef>
          </c:val>
          <c:extLst>
            <c:ext xmlns:c16="http://schemas.microsoft.com/office/drawing/2014/chart" uri="{C3380CC4-5D6E-409C-BE32-E72D297353CC}">
              <c16:uniqueId val="{00000004-2609-4D03-8F19-4C47E1900133}"/>
            </c:ext>
          </c:extLst>
        </c:ser>
        <c:ser>
          <c:idx val="5"/>
          <c:order val="5"/>
          <c:tx>
            <c:strRef>
              <c:f>Visuals!$S$2</c:f>
              <c:strCache>
                <c:ptCount val="1"/>
                <c:pt idx="0">
                  <c:v>External Agency</c:v>
                </c:pt>
              </c:strCache>
            </c:strRef>
          </c:tx>
          <c:spPr>
            <a:solidFill>
              <a:srgbClr val="EECA3B"/>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Visuals!$S$3:$S$32</c:f>
              <c:numCache>
                <c:formatCode>General</c:formatCode>
                <c:ptCount val="30"/>
                <c:pt idx="0">
                  <c:v>14</c:v>
                </c:pt>
                <c:pt idx="1">
                  <c:v>0</c:v>
                </c:pt>
                <c:pt idx="2">
                  <c:v>0</c:v>
                </c:pt>
                <c:pt idx="3">
                  <c:v>0</c:v>
                </c:pt>
                <c:pt idx="4">
                  <c:v>0</c:v>
                </c:pt>
                <c:pt idx="5">
                  <c:v>0</c:v>
                </c:pt>
                <c:pt idx="6">
                  <c:v>0</c:v>
                </c:pt>
              </c:numCache>
            </c:numRef>
          </c:val>
          <c:extLst>
            <c:ext xmlns:c16="http://schemas.microsoft.com/office/drawing/2014/chart" uri="{C3380CC4-5D6E-409C-BE32-E72D297353CC}">
              <c16:uniqueId val="{00000005-2609-4D03-8F19-4C47E1900133}"/>
            </c:ext>
          </c:extLst>
        </c:ser>
        <c:ser>
          <c:idx val="6"/>
          <c:order val="6"/>
          <c:tx>
            <c:strRef>
              <c:f>Visuals!$T$2</c:f>
              <c:strCache>
                <c:ptCount val="1"/>
                <c:pt idx="0">
                  <c:v>Finance</c:v>
                </c:pt>
              </c:strCache>
            </c:strRef>
          </c:tx>
          <c:spPr>
            <a:solidFill>
              <a:srgbClr val="B279A2"/>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Visuals!$T$3:$T$32</c:f>
              <c:numCache>
                <c:formatCode>General</c:formatCode>
                <c:ptCount val="30"/>
                <c:pt idx="0">
                  <c:v>86</c:v>
                </c:pt>
                <c:pt idx="1">
                  <c:v>0</c:v>
                </c:pt>
                <c:pt idx="2">
                  <c:v>0</c:v>
                </c:pt>
                <c:pt idx="3">
                  <c:v>0</c:v>
                </c:pt>
                <c:pt idx="4">
                  <c:v>0</c:v>
                </c:pt>
                <c:pt idx="5">
                  <c:v>0</c:v>
                </c:pt>
                <c:pt idx="6">
                  <c:v>0</c:v>
                </c:pt>
              </c:numCache>
            </c:numRef>
          </c:val>
          <c:extLst>
            <c:ext xmlns:c16="http://schemas.microsoft.com/office/drawing/2014/chart" uri="{C3380CC4-5D6E-409C-BE32-E72D297353CC}">
              <c16:uniqueId val="{00000006-2609-4D03-8F19-4C47E1900133}"/>
            </c:ext>
          </c:extLst>
        </c:ser>
        <c:ser>
          <c:idx val="7"/>
          <c:order val="7"/>
          <c:tx>
            <c:strRef>
              <c:f>Visuals!$U$2</c:f>
              <c:strCache>
                <c:ptCount val="1"/>
                <c:pt idx="0">
                  <c:v>Mayor's Office</c:v>
                </c:pt>
              </c:strCache>
            </c:strRef>
          </c:tx>
          <c:spPr>
            <a:solidFill>
              <a:srgbClr val="FF9DA6"/>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Visuals!$U$3:$U$32</c:f>
              <c:numCache>
                <c:formatCode>General</c:formatCode>
                <c:ptCount val="30"/>
                <c:pt idx="0">
                  <c:v>8</c:v>
                </c:pt>
                <c:pt idx="1">
                  <c:v>0</c:v>
                </c:pt>
                <c:pt idx="2">
                  <c:v>0</c:v>
                </c:pt>
                <c:pt idx="3">
                  <c:v>0</c:v>
                </c:pt>
                <c:pt idx="4">
                  <c:v>0</c:v>
                </c:pt>
                <c:pt idx="5">
                  <c:v>0</c:v>
                </c:pt>
                <c:pt idx="6">
                  <c:v>0</c:v>
                </c:pt>
              </c:numCache>
            </c:numRef>
          </c:val>
          <c:extLst>
            <c:ext xmlns:c16="http://schemas.microsoft.com/office/drawing/2014/chart" uri="{C3380CC4-5D6E-409C-BE32-E72D297353CC}">
              <c16:uniqueId val="{00000007-2609-4D03-8F19-4C47E1900133}"/>
            </c:ext>
          </c:extLst>
        </c:ser>
        <c:ser>
          <c:idx val="8"/>
          <c:order val="8"/>
          <c:tx>
            <c:strRef>
              <c:f>Visuals!$V$2</c:f>
              <c:strCache>
                <c:ptCount val="1"/>
                <c:pt idx="0">
                  <c:v>Parks &amp; Recreation</c:v>
                </c:pt>
              </c:strCache>
            </c:strRef>
          </c:tx>
          <c:spPr>
            <a:solidFill>
              <a:srgbClr val="9D755D"/>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Visuals!$V$3:$V$32</c:f>
              <c:numCache>
                <c:formatCode>General</c:formatCode>
                <c:ptCount val="30"/>
                <c:pt idx="0">
                  <c:v>2</c:v>
                </c:pt>
                <c:pt idx="1">
                  <c:v>0</c:v>
                </c:pt>
                <c:pt idx="2">
                  <c:v>0</c:v>
                </c:pt>
                <c:pt idx="3">
                  <c:v>0</c:v>
                </c:pt>
                <c:pt idx="4">
                  <c:v>0</c:v>
                </c:pt>
                <c:pt idx="5">
                  <c:v>0</c:v>
                </c:pt>
                <c:pt idx="6">
                  <c:v>0</c:v>
                </c:pt>
              </c:numCache>
            </c:numRef>
          </c:val>
          <c:extLst>
            <c:ext xmlns:c16="http://schemas.microsoft.com/office/drawing/2014/chart" uri="{C3380CC4-5D6E-409C-BE32-E72D297353CC}">
              <c16:uniqueId val="{00000008-2609-4D03-8F19-4C47E1900133}"/>
            </c:ext>
          </c:extLst>
        </c:ser>
        <c:ser>
          <c:idx val="9"/>
          <c:order val="9"/>
          <c:tx>
            <c:strRef>
              <c:f>Visuals!$W$2</c:f>
              <c:strCache>
                <c:ptCount val="1"/>
                <c:pt idx="0">
                  <c:v>Public Health &amp; Environment</c:v>
                </c:pt>
              </c:strCache>
            </c:strRef>
          </c:tx>
          <c:spPr>
            <a:solidFill>
              <a:schemeClr val="accent4">
                <a:lumMod val="60000"/>
              </a:schemeClr>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Visuals!$W$3:$W$32</c:f>
              <c:numCache>
                <c:formatCode>General</c:formatCode>
                <c:ptCount val="30"/>
                <c:pt idx="0">
                  <c:v>43</c:v>
                </c:pt>
                <c:pt idx="1">
                  <c:v>0</c:v>
                </c:pt>
                <c:pt idx="2">
                  <c:v>0</c:v>
                </c:pt>
                <c:pt idx="3">
                  <c:v>0</c:v>
                </c:pt>
                <c:pt idx="4">
                  <c:v>0</c:v>
                </c:pt>
                <c:pt idx="5">
                  <c:v>0</c:v>
                </c:pt>
                <c:pt idx="6">
                  <c:v>0</c:v>
                </c:pt>
              </c:numCache>
            </c:numRef>
          </c:val>
          <c:extLst>
            <c:ext xmlns:c16="http://schemas.microsoft.com/office/drawing/2014/chart" uri="{C3380CC4-5D6E-409C-BE32-E72D297353CC}">
              <c16:uniqueId val="{00000009-2609-4D03-8F19-4C47E1900133}"/>
            </c:ext>
          </c:extLst>
        </c:ser>
        <c:ser>
          <c:idx val="10"/>
          <c:order val="10"/>
          <c:tx>
            <c:strRef>
              <c:f>Visuals!$X$2</c:f>
              <c:strCache>
                <c:ptCount val="1"/>
                <c:pt idx="0">
                  <c:v>Public Works</c:v>
                </c:pt>
              </c:strCache>
            </c:strRef>
          </c:tx>
          <c:spPr>
            <a:solidFill>
              <a:srgbClr val="59A14F"/>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Visuals!$X$3:$X$32</c:f>
              <c:numCache>
                <c:formatCode>General</c:formatCode>
                <c:ptCount val="30"/>
                <c:pt idx="0">
                  <c:v>67</c:v>
                </c:pt>
                <c:pt idx="1">
                  <c:v>0</c:v>
                </c:pt>
                <c:pt idx="2">
                  <c:v>0</c:v>
                </c:pt>
                <c:pt idx="3">
                  <c:v>0</c:v>
                </c:pt>
                <c:pt idx="4">
                  <c:v>0</c:v>
                </c:pt>
                <c:pt idx="5">
                  <c:v>0</c:v>
                </c:pt>
                <c:pt idx="6">
                  <c:v>0</c:v>
                </c:pt>
              </c:numCache>
            </c:numRef>
          </c:val>
          <c:extLst>
            <c:ext xmlns:c16="http://schemas.microsoft.com/office/drawing/2014/chart" uri="{C3380CC4-5D6E-409C-BE32-E72D297353CC}">
              <c16:uniqueId val="{0000000A-2609-4D03-8F19-4C47E1900133}"/>
            </c:ext>
          </c:extLst>
        </c:ser>
        <c:ser>
          <c:idx val="11"/>
          <c:order val="11"/>
          <c:tx>
            <c:strRef>
              <c:f>Visuals!$Y$2</c:f>
              <c:strCache>
                <c:ptCount val="1"/>
                <c:pt idx="0">
                  <c:v>Safety</c:v>
                </c:pt>
              </c:strCache>
            </c:strRef>
          </c:tx>
          <c:spPr>
            <a:solidFill>
              <a:srgbClr val="F28E2B"/>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Visuals!$Y$3:$Y$32</c:f>
              <c:numCache>
                <c:formatCode>General</c:formatCode>
                <c:ptCount val="30"/>
                <c:pt idx="0">
                  <c:v>137</c:v>
                </c:pt>
                <c:pt idx="1">
                  <c:v>0</c:v>
                </c:pt>
                <c:pt idx="2">
                  <c:v>0</c:v>
                </c:pt>
                <c:pt idx="3">
                  <c:v>0</c:v>
                </c:pt>
                <c:pt idx="4">
                  <c:v>0</c:v>
                </c:pt>
                <c:pt idx="5">
                  <c:v>0</c:v>
                </c:pt>
                <c:pt idx="6">
                  <c:v>0</c:v>
                </c:pt>
              </c:numCache>
            </c:numRef>
          </c:val>
          <c:extLst>
            <c:ext xmlns:c16="http://schemas.microsoft.com/office/drawing/2014/chart" uri="{C3380CC4-5D6E-409C-BE32-E72D297353CC}">
              <c16:uniqueId val="{0000000B-2609-4D03-8F19-4C47E1900133}"/>
            </c:ext>
          </c:extLst>
        </c:ser>
        <c:ser>
          <c:idx val="12"/>
          <c:order val="12"/>
          <c:tx>
            <c:strRef>
              <c:f>Visuals!$Z$2</c:f>
              <c:strCache>
                <c:ptCount val="1"/>
                <c:pt idx="0">
                  <c:v>Tech Services</c:v>
                </c:pt>
              </c:strCache>
            </c:strRef>
          </c:tx>
          <c:spPr>
            <a:solidFill>
              <a:srgbClr val="8CD17D"/>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Visuals!$Z$3:$Z$32</c:f>
              <c:numCache>
                <c:formatCode>General</c:formatCode>
                <c:ptCount val="30"/>
                <c:pt idx="0">
                  <c:v>1</c:v>
                </c:pt>
                <c:pt idx="1">
                  <c:v>0</c:v>
                </c:pt>
                <c:pt idx="2">
                  <c:v>0</c:v>
                </c:pt>
                <c:pt idx="3">
                  <c:v>0</c:v>
                </c:pt>
                <c:pt idx="4">
                  <c:v>0</c:v>
                </c:pt>
                <c:pt idx="5">
                  <c:v>0</c:v>
                </c:pt>
                <c:pt idx="6">
                  <c:v>0</c:v>
                </c:pt>
              </c:numCache>
            </c:numRef>
          </c:val>
          <c:extLst>
            <c:ext xmlns:c16="http://schemas.microsoft.com/office/drawing/2014/chart" uri="{C3380CC4-5D6E-409C-BE32-E72D297353CC}">
              <c16:uniqueId val="{0000000C-2609-4D03-8F19-4C47E1900133}"/>
            </c:ext>
          </c:extLst>
        </c:ser>
        <c:ser>
          <c:idx val="13"/>
          <c:order val="13"/>
          <c:tx>
            <c:strRef>
              <c:f>Visuals!$AA$2</c:f>
              <c:strCache>
                <c:ptCount val="1"/>
              </c:strCache>
            </c:strRef>
          </c:tx>
          <c:spPr>
            <a:solidFill>
              <a:srgbClr val="76B7B2"/>
            </a:solidFill>
            <a:ln>
              <a:noFill/>
            </a:ln>
            <a:effectLst/>
          </c:spPr>
          <c:invertIfNegative val="0"/>
          <c:cat>
            <c:numRef>
              <c:f>Visuals!$M$3:$M$32</c:f>
              <c:numCache>
                <c:formatCode>m/d/yyyy</c:formatCode>
                <c:ptCount val="30"/>
                <c:pt idx="0">
                  <c:v>45657</c:v>
                </c:pt>
                <c:pt idx="1">
                  <c:v>45658</c:v>
                </c:pt>
                <c:pt idx="2">
                  <c:v>45659</c:v>
                </c:pt>
                <c:pt idx="3">
                  <c:v>45660</c:v>
                </c:pt>
                <c:pt idx="4">
                  <c:v>45661</c:v>
                </c:pt>
                <c:pt idx="5">
                  <c:v>45662</c:v>
                </c:pt>
                <c:pt idx="6">
                  <c:v>45663</c:v>
                </c:pt>
              </c:numCache>
            </c:numRef>
          </c:cat>
          <c:val>
            <c:numRef>
              <c:f>Visuals!$AA$3:$AA$32</c:f>
              <c:numCache>
                <c:formatCode>General</c:formatCode>
                <c:ptCount val="30"/>
              </c:numCache>
            </c:numRef>
          </c:val>
          <c:extLst>
            <c:ext xmlns:c16="http://schemas.microsoft.com/office/drawing/2014/chart" uri="{C3380CC4-5D6E-409C-BE32-E72D297353CC}">
              <c16:uniqueId val="{0000000D-2609-4D03-8F19-4C47E1900133}"/>
            </c:ext>
          </c:extLst>
        </c:ser>
        <c:ser>
          <c:idx val="14"/>
          <c:order val="14"/>
          <c:tx>
            <c:strRef>
              <c:f>Visuals!$AB$2</c:f>
              <c:strCache>
                <c:ptCount val="1"/>
              </c:strCache>
            </c:strRef>
          </c:tx>
          <c:spPr>
            <a:solidFill>
              <a:srgbClr val="7A70C0"/>
            </a:solidFill>
            <a:ln>
              <a:noFill/>
            </a:ln>
            <a:effectLst/>
          </c:spPr>
          <c:invertIfNegative val="0"/>
          <c:val>
            <c:numRef>
              <c:f>Visuals!$AB$3:$AB$32</c:f>
              <c:numCache>
                <c:formatCode>General</c:formatCode>
                <c:ptCount val="30"/>
              </c:numCache>
            </c:numRef>
          </c:val>
          <c:extLst>
            <c:ext xmlns:c16="http://schemas.microsoft.com/office/drawing/2014/chart" uri="{C3380CC4-5D6E-409C-BE32-E72D297353CC}">
              <c16:uniqueId val="{00000000-7C36-4BD8-B6F9-8D12091771AD}"/>
            </c:ext>
          </c:extLst>
        </c:ser>
        <c:dLbls>
          <c:showLegendKey val="0"/>
          <c:showVal val="0"/>
          <c:showCatName val="0"/>
          <c:showSerName val="0"/>
          <c:showPercent val="0"/>
          <c:showBubbleSize val="0"/>
        </c:dLbls>
        <c:gapWidth val="50"/>
        <c:overlap val="100"/>
        <c:axId val="2034203791"/>
        <c:axId val="2034201871"/>
      </c:barChart>
      <c:dateAx>
        <c:axId val="203420379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201871"/>
        <c:crosses val="autoZero"/>
        <c:auto val="1"/>
        <c:lblOffset val="100"/>
        <c:baseTimeUnit val="days"/>
      </c:dateAx>
      <c:valAx>
        <c:axId val="2034201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203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2753290721370516E-2"/>
          <c:y val="1.856082618626443E-2"/>
          <c:w val="0.96628136513344176"/>
          <c:h val="0.79653870060646315"/>
        </c:manualLayout>
      </c:layout>
      <c:lineChart>
        <c:grouping val="standard"/>
        <c:varyColors val="0"/>
        <c:ser>
          <c:idx val="0"/>
          <c:order val="0"/>
          <c:tx>
            <c:strRef>
              <c:f>Visuals!$AQ$1</c:f>
              <c:strCache>
                <c:ptCount val="1"/>
                <c:pt idx="0">
                  <c:v>Daily Volume for Public Works</c:v>
                </c:pt>
              </c:strCache>
            </c:strRef>
          </c:tx>
          <c:spPr>
            <a:ln w="28575" cap="rnd">
              <a:solidFill>
                <a:schemeClr val="accent1"/>
              </a:solidFill>
              <a:round/>
            </a:ln>
            <a:effectLst/>
          </c:spPr>
          <c:marker>
            <c:symbol val="none"/>
          </c:marker>
          <c:cat>
            <c:numRef>
              <c:f>[0]!window_dates</c:f>
              <c:numCache>
                <c:formatCode>m/d/yyyy</c:formatCode>
                <c:ptCount val="1"/>
                <c:pt idx="0">
                  <c:v>45657</c:v>
                </c:pt>
              </c:numCache>
            </c:numRef>
          </c:cat>
          <c:val>
            <c:numRef>
              <c:f>[0]!daily_volume</c:f>
              <c:numCache>
                <c:formatCode>0</c:formatCode>
                <c:ptCount val="1"/>
                <c:pt idx="0">
                  <c:v>67</c:v>
                </c:pt>
              </c:numCache>
            </c:numRef>
          </c:val>
          <c:smooth val="0"/>
          <c:extLst>
            <c:ext xmlns:c16="http://schemas.microsoft.com/office/drawing/2014/chart" uri="{C3380CC4-5D6E-409C-BE32-E72D297353CC}">
              <c16:uniqueId val="{00000000-CF37-4858-81BA-B799C18E0DA3}"/>
            </c:ext>
          </c:extLst>
        </c:ser>
        <c:dLbls>
          <c:showLegendKey val="0"/>
          <c:showVal val="0"/>
          <c:showCatName val="0"/>
          <c:showSerName val="0"/>
          <c:showPercent val="0"/>
          <c:showBubbleSize val="0"/>
        </c:dLbls>
        <c:smooth val="0"/>
        <c:axId val="937515376"/>
        <c:axId val="937516816"/>
      </c:lineChart>
      <c:dateAx>
        <c:axId val="9375153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516816"/>
        <c:crosses val="autoZero"/>
        <c:auto val="1"/>
        <c:lblOffset val="100"/>
        <c:baseTimeUnit val="days"/>
      </c:dateAx>
      <c:valAx>
        <c:axId val="937516816"/>
        <c:scaling>
          <c:orientation val="minMax"/>
        </c:scaling>
        <c:delete val="0"/>
        <c:axPos val="l"/>
        <c:majorGridlines>
          <c:spPr>
            <a:ln w="9525" cap="flat" cmpd="sng" algn="ctr">
              <a:solidFill>
                <a:schemeClr val="bg2"/>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515376"/>
        <c:crosses val="autoZero"/>
        <c:crossBetween val="between"/>
      </c:valAx>
      <c:spPr>
        <a:noFill/>
        <a:ln>
          <a:noFill/>
        </a:ln>
        <a:effectLst/>
      </c:spPr>
    </c:plotArea>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[0]!durations</cx:f>
      </cx:numDim>
    </cx:data>
  </cx:chartData>
  <cx:chart>
    <cx:title pos="t" align="ctr" overlay="0">
      <cx:tx>
        <cx:txData>
          <cx:v>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a:t>
          </a:r>
        </a:p>
      </cx:txPr>
    </cx:title>
    <cx:plotArea>
      <cx:plotAreaRegion>
        <cx:series layoutId="clusteredColumn" uniqueId="{00000000-300D-45FC-934F-68654E143A9C}" formatIdx="0">
          <cx:tx>
            <cx:txData>
              <cx:f>_xlchart.v1.1</cx:f>
              <cx:v>Durations for Public Works</cx:v>
            </cx:txData>
          </cx:tx>
          <cx:dataId val="0"/>
          <cx:layoutPr>
            <cx:binning intervalClosed="r">
              <cx:binSize val="2"/>
            </cx:binning>
          </cx:layoutPr>
        </cx:series>
      </cx:plotAreaRegion>
      <cx:axis id="0">
        <cx:catScaling gapWidth="0"/>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[0]!durations</cx:f>
      </cx:numDim>
    </cx:data>
  </cx:chartData>
  <cx:chart>
    <cx:title pos="t" align="ctr" overlay="0">
      <cx:tx>
        <cx:txData>
          <cx:v>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 </a:t>
          </a:r>
        </a:p>
      </cx:txPr>
    </cx:title>
    <cx:plotArea>
      <cx:plotAreaRegion>
        <cx:series layoutId="boxWhisker" uniqueId="{CC0BC192-C0E0-4A1D-B9AF-6F36969DDC3A}" formatIdx="0">
          <cx:tx>
            <cx:txData>
              <cx:f>_xlchart.v1.3</cx:f>
              <cx:v>Durations for Public Works</cx:v>
            </cx:txData>
          </cx:tx>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26" fmlaLink="scroll_position" horiz="1" max="300" min="1" page="7"/>
</file>

<file path=xl/ctrlProps/ctrlProp2.xml><?xml version="1.0" encoding="utf-8"?>
<formControlPr xmlns="http://schemas.microsoft.com/office/spreadsheetml/2009/9/main" objectType="Spin" dx="26" fmlaLink="window_size" max="30" min="3" page="10" val="7"/>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196</xdr:row>
      <xdr:rowOff>175260</xdr:rowOff>
    </xdr:from>
    <xdr:to>
      <xdr:col>10</xdr:col>
      <xdr:colOff>152400</xdr:colOff>
      <xdr:row>272</xdr:row>
      <xdr:rowOff>148590</xdr:rowOff>
    </xdr:to>
    <mc:AlternateContent xmlns:mc="http://schemas.openxmlformats.org/markup-compatibility/2006" xmlns:a14="http://schemas.microsoft.com/office/drawing/2010/main">
      <mc:Choice Requires="a14">
        <xdr:sp macro="" textlink="">
          <xdr:nvSpPr>
            <xdr:cNvPr id="2" name="txt_Column_by_Column">
              <a:extLst>
                <a:ext uri="{FF2B5EF4-FFF2-40B4-BE49-F238E27FC236}">
                  <a16:creationId xmlns:a16="http://schemas.microsoft.com/office/drawing/2014/main" id="{3FB8CEAA-EE55-4D10-9AEF-AB97327CD831}"/>
                </a:ext>
              </a:extLst>
            </xdr:cNvPr>
            <xdr:cNvSpPr txBox="1"/>
          </xdr:nvSpPr>
          <xdr:spPr>
            <a:xfrm>
              <a:off x="0" y="42169080"/>
              <a:ext cx="6858000" cy="15030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panose="020B0502040204020203" pitchFamily="34" charset="0"/>
                  <a:ea typeface="Calibri" panose="020F0502020204030204" pitchFamily="34" charset="0"/>
                  <a:cs typeface="Segoe UI" panose="020B0502040204020203" pitchFamily="34" charset="0"/>
                </a:rPr>
                <a:t>## Column‑by‑Column Documentation</a:t>
              </a:r>
            </a:p>
            <a:p>
              <a:r>
                <a:rPr lang="en-US" sz="1200">
                  <a:effectLst/>
                  <a:latin typeface="Segoe UI" panose="020B0502040204020203" pitchFamily="34" charset="0"/>
                  <a:ea typeface="Calibri" panose="020F0502020204030204" pitchFamily="34" charset="0"/>
                  <a:cs typeface="Segoe UI" panose="020B0502040204020203" pitchFamily="34" charset="0"/>
                </a:rPr>
                <a:t>The </a:t>
              </a:r>
              <a:r>
                <a:rPr lang="en-US" sz="1200" b="1">
                  <a:effectLst/>
                  <a:latin typeface="Segoe UI" panose="020B0502040204020203" pitchFamily="34" charset="0"/>
                  <a:ea typeface="Calibri" panose="020F0502020204030204" pitchFamily="34" charset="0"/>
                  <a:cs typeface="Segoe UI" panose="020B0502040204020203" pitchFamily="34" charset="0"/>
                </a:rPr>
                <a:t>Clean_311</a:t>
              </a:r>
              <a:r>
                <a:rPr lang="en-US" sz="1200">
                  <a:effectLst/>
                  <a:latin typeface="Segoe UI" panose="020B0502040204020203" pitchFamily="34" charset="0"/>
                  <a:ea typeface="Calibri" panose="020F0502020204030204" pitchFamily="34" charset="0"/>
                  <a:cs typeface="Segoe UI" panose="020B0502040204020203" pitchFamily="34" charset="0"/>
                </a:rPr>
                <a:t> sheet contains the fully cleaned and validated dataset used throughout the workbook. The </a:t>
              </a:r>
              <a:r>
                <a:rPr lang="en-US" sz="1200" b="1">
                  <a:effectLst/>
                  <a:latin typeface="Segoe UI" panose="020B0502040204020203" pitchFamily="34" charset="0"/>
                  <a:ea typeface="Calibri" panose="020F0502020204030204" pitchFamily="34" charset="0"/>
                  <a:cs typeface="Segoe UI" panose="020B0502040204020203" pitchFamily="34" charset="0"/>
                </a:rPr>
                <a:t>Slice_311</a:t>
              </a:r>
              <a:r>
                <a:rPr lang="en-US" sz="1200">
                  <a:effectLst/>
                  <a:latin typeface="Segoe UI" panose="020B0502040204020203" pitchFamily="34" charset="0"/>
                  <a:ea typeface="Calibri" panose="020F0502020204030204" pitchFamily="34" charset="0"/>
                  <a:cs typeface="Segoe UI" panose="020B0502040204020203" pitchFamily="34" charset="0"/>
                </a:rPr>
                <a:t> sheet contains the most recent 500 records from Clean_311 and includes all columns </a:t>
              </a:r>
              <a:r>
                <a:rPr lang="en-US" sz="1200" i="1">
                  <a:effectLst/>
                  <a:latin typeface="Segoe UI" panose="020B0502040204020203" pitchFamily="34" charset="0"/>
                  <a:ea typeface="Calibri" panose="020F0502020204030204" pitchFamily="34" charset="0"/>
                  <a:cs typeface="Segoe UI" panose="020B0502040204020203" pitchFamily="34" charset="0"/>
                </a:rPr>
                <a:t>except</a:t>
              </a:r>
              <a:r>
                <a:rPr lang="en-US" sz="1200">
                  <a:effectLst/>
                  <a:latin typeface="Segoe UI" panose="020B0502040204020203" pitchFamily="34" charset="0"/>
                  <a:ea typeface="Calibri" panose="020F0502020204030204" pitchFamily="34" charset="0"/>
                  <a:cs typeface="Segoe UI" panose="020B0502040204020203" pitchFamily="34" charset="0"/>
                </a:rPr>
                <a:t> QA Flags. Each field is documented below, including its source, transformation logic, and analytical purpose.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 Case Status</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Cleaned for whitespace, case, and formatting inconsistencies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Input to the canonical status mapping table; represents the operational state of each request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2. Created Date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Converted to a valid Excel date; rows missing a created date were screened out using </a:t>
              </a:r>
              <a:r>
                <a:rPr lang="en-US" sz="1200">
                  <a:solidFill>
                    <a:schemeClr val="dk1"/>
                  </a:solidFill>
                  <a:effectLst/>
                  <a:latin typeface="Segoe UI" panose="020B0502040204020203" pitchFamily="34" charset="0"/>
                  <a:ea typeface="Calibri" panose="020F0502020204030204" pitchFamily="34" charset="0"/>
                  <a:cs typeface="Segoe UI" panose="020B0502040204020203" pitchFamily="34" charset="0"/>
                </a:rPr>
                <a:t>Is_Continuation</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Primary time index for all rolling windows, KPIs, and trend analyses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3. Closed Date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Standardized to a valid Excel date; invalid or impossible closure dates removed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Used to compute request duration and determine whether a case is open or closed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4. Duration</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a:t>
              </a:r>
              <a14:m>
                <m:oMath xmlns:m="http://schemas.openxmlformats.org/officeDocument/2006/math">
                  <m:r>
                    <m:rPr>
                      <m:nor/>
                    </m:rPr>
                    <a:rPr lang="en-US" sz="1200" b="0">
                      <a:latin typeface="Segoe UI" panose="020B0502040204020203" pitchFamily="34" charset="0"/>
                      <a:ea typeface="Calibri" panose="020F0502020204030204" pitchFamily="34" charset="0"/>
                      <a:cs typeface="Segoe UI" panose="020B0502040204020203" pitchFamily="34" charset="0"/>
                    </a:rPr>
                    <m:t>Duration</m:t>
                  </m:r>
                  <m:r>
                    <a:rPr lang="en-US" sz="1200" b="0" i="0">
                      <a:solidFill>
                        <a:schemeClr val="dk1"/>
                      </a:solidFill>
                      <a:latin typeface="Cambria Math" panose="02040503050406030204" pitchFamily="18" charset="0"/>
                      <a:ea typeface="+mn-ea"/>
                      <a:cs typeface="+mn-cs"/>
                    </a:rPr>
                    <m:t>=</m:t>
                  </m:r>
                  <m:r>
                    <m:rPr>
                      <m:nor/>
                    </m:rPr>
                    <a:rPr lang="en-US" sz="1200" b="0" i="1">
                      <a:solidFill>
                        <a:schemeClr val="dk1"/>
                      </a:solidFill>
                      <a:latin typeface="Segoe UI" panose="020B0502040204020203" pitchFamily="34" charset="0"/>
                      <a:ea typeface="Calibri" panose="020F0502020204030204" pitchFamily="34" charset="0"/>
                      <a:cs typeface="Segoe UI" panose="020B0502040204020203" pitchFamily="34" charset="0"/>
                    </a:rPr>
                    <m:t>Closed</m:t>
                  </m:r>
                  <m:r>
                    <m:rPr>
                      <m:nor/>
                    </m:rPr>
                    <a:rPr lang="en-US" sz="1200" b="0" i="1">
                      <a:solidFill>
                        <a:schemeClr val="dk1"/>
                      </a:solidFill>
                      <a:latin typeface="Segoe UI" panose="020B0502040204020203" pitchFamily="34" charset="0"/>
                      <a:ea typeface="Calibri" panose="020F0502020204030204" pitchFamily="34" charset="0"/>
                      <a:cs typeface="Segoe UI" panose="020B0502040204020203" pitchFamily="34" charset="0"/>
                    </a:rPr>
                    <m:t> </m:t>
                  </m:r>
                  <m:r>
                    <m:rPr>
                      <m:nor/>
                    </m:rPr>
                    <a:rPr lang="en-US" sz="1200" b="0" i="1">
                      <a:solidFill>
                        <a:schemeClr val="dk1"/>
                      </a:solidFill>
                      <a:latin typeface="Segoe UI" panose="020B0502040204020203" pitchFamily="34" charset="0"/>
                      <a:ea typeface="Calibri" panose="020F0502020204030204" pitchFamily="34" charset="0"/>
                      <a:cs typeface="Segoe UI" panose="020B0502040204020203" pitchFamily="34" charset="0"/>
                    </a:rPr>
                    <m:t>Date</m:t>
                  </m:r>
                  <m:r>
                    <a:rPr lang="en-US" sz="1200" b="0" i="0">
                      <a:solidFill>
                        <a:schemeClr val="dk1"/>
                      </a:solidFill>
                      <a:latin typeface="Cambria Math" panose="02040503050406030204" pitchFamily="18" charset="0"/>
                      <a:ea typeface="+mn-ea"/>
                      <a:cs typeface="+mn-cs"/>
                    </a:rPr>
                    <m:t>−</m:t>
                  </m:r>
                  <m:r>
                    <m:rPr>
                      <m:nor/>
                    </m:rPr>
                    <a:rPr lang="en-US" sz="1200" b="0" i="1">
                      <a:solidFill>
                        <a:schemeClr val="dk1"/>
                      </a:solidFill>
                      <a:latin typeface="Segoe UI" panose="020B0502040204020203" pitchFamily="34" charset="0"/>
                      <a:ea typeface="Calibri" panose="020F0502020204030204" pitchFamily="34" charset="0"/>
                      <a:cs typeface="Segoe UI" panose="020B0502040204020203" pitchFamily="34" charset="0"/>
                    </a:rPr>
                    <m:t>Created</m:t>
                  </m:r>
                  <m:r>
                    <m:rPr>
                      <m:nor/>
                    </m:rPr>
                    <a:rPr lang="en-US" sz="1200" b="0" i="1">
                      <a:solidFill>
                        <a:schemeClr val="dk1"/>
                      </a:solidFill>
                      <a:latin typeface="Segoe UI" panose="020B0502040204020203" pitchFamily="34" charset="0"/>
                      <a:ea typeface="Calibri" panose="020F0502020204030204" pitchFamily="34" charset="0"/>
                      <a:cs typeface="Segoe UI" panose="020B0502040204020203" pitchFamily="34" charset="0"/>
                    </a:rPr>
                    <m:t> </m:t>
                  </m:r>
                  <m:r>
                    <m:rPr>
                      <m:nor/>
                    </m:rPr>
                    <a:rPr lang="en-US" sz="1200" b="0" i="1">
                      <a:solidFill>
                        <a:schemeClr val="dk1"/>
                      </a:solidFill>
                      <a:latin typeface="Segoe UI" panose="020B0502040204020203" pitchFamily="34" charset="0"/>
                      <a:ea typeface="Calibri" panose="020F0502020204030204" pitchFamily="34" charset="0"/>
                      <a:cs typeface="Segoe UI" panose="020B0502040204020203" pitchFamily="34" charset="0"/>
                    </a:rPr>
                    <m:t>Date</m:t>
                  </m:r>
                </m:oMath>
              </a14:m>
              <a:r>
                <a:rPr lang="en-US" sz="1200">
                  <a:effectLst/>
                  <a:latin typeface="Segoe UI" panose="020B0502040204020203" pitchFamily="34" charset="0"/>
                  <a:ea typeface="Calibri" panose="020F0502020204030204" pitchFamily="34" charset="0"/>
                  <a:cs typeface="Segoe UI" panose="020B0502040204020203" pitchFamily="34" charset="0"/>
                </a:rPr>
                <a:t>Rows with missing Closed Date return </a:t>
              </a:r>
              <a:r>
                <a:rPr lang="en-US" sz="1200">
                  <a:solidFill>
                    <a:schemeClr val="dk1"/>
                  </a:solidFill>
                  <a:effectLst/>
                  <a:latin typeface="Segoe UI" panose="020B0502040204020203" pitchFamily="34" charset="0"/>
                  <a:ea typeface="Calibri" panose="020F0502020204030204" pitchFamily="34" charset="0"/>
                  <a:cs typeface="Segoe UI" panose="020B0502040204020203" pitchFamily="34" charset="0"/>
                </a:rPr>
                <a:t>#N/A</a:t>
              </a:r>
              <a:r>
                <a:rPr lang="en-US" sz="1200">
                  <a:effectLst/>
                  <a:latin typeface="Segoe UI" panose="020B0502040204020203" pitchFamily="34" charset="0"/>
                  <a:ea typeface="Calibri" panose="020F0502020204030204" pitchFamily="34" charset="0"/>
                  <a:cs typeface="Segoe UI" panose="020B0502040204020203" pitchFamily="34" charset="0"/>
                </a:rPr>
                <a:t> (handled via </a:t>
              </a:r>
              <a:r>
                <a:rPr lang="en-US" sz="1200">
                  <a:solidFill>
                    <a:schemeClr val="dk1"/>
                  </a:solidFill>
                  <a:effectLst/>
                  <a:latin typeface="Segoe UI" panose="020B0502040204020203" pitchFamily="34" charset="0"/>
                  <a:ea typeface="Calibri" panose="020F0502020204030204" pitchFamily="34" charset="0"/>
                  <a:cs typeface="Segoe UI" panose="020B0502040204020203" pitchFamily="34" charset="0"/>
                </a:rPr>
                <a:t>Is Open</a:t>
              </a:r>
              <a:r>
                <a:rPr lang="en-US" sz="1200">
                  <a:effectLst/>
                  <a:latin typeface="Segoe UI" panose="020B0502040204020203" pitchFamily="34" charset="0"/>
                  <a:ea typeface="Calibri" panose="020F0502020204030204" pitchFamily="34" charset="0"/>
                  <a:cs typeface="Segoe UI" panose="020B0502040204020203" pitchFamily="34" charset="0"/>
                </a:rPr>
                <a: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Measures resolution time; used in KPIs and optional duration‑based insights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5. Is Open</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Boolean flag:</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b="1">
                  <a:effectLst/>
                  <a:latin typeface="Segoe UI" panose="020B0502040204020203" pitchFamily="34" charset="0"/>
                  <a:ea typeface="Calibri" panose="020F0502020204030204" pitchFamily="34" charset="0"/>
                  <a:cs typeface="Segoe UI" panose="020B0502040204020203" pitchFamily="34" charset="0"/>
                </a:rPr>
                <a:t>TRUE</a:t>
              </a:r>
              <a:r>
                <a:rPr lang="en-US" sz="1200">
                  <a:effectLst/>
                  <a:latin typeface="Segoe UI" panose="020B0502040204020203" pitchFamily="34" charset="0"/>
                  <a:ea typeface="Calibri" panose="020F0502020204030204" pitchFamily="34" charset="0"/>
                  <a:cs typeface="Segoe UI" panose="020B0502040204020203" pitchFamily="34" charset="0"/>
                </a:rPr>
                <a:t> if Closed Date is blank</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b="1">
                  <a:effectLst/>
                  <a:latin typeface="Segoe UI" panose="020B0502040204020203" pitchFamily="34" charset="0"/>
                  <a:ea typeface="Calibri" panose="020F0502020204030204" pitchFamily="34" charset="0"/>
                  <a:cs typeface="Segoe UI" panose="020B0502040204020203" pitchFamily="34" charset="0"/>
                </a:rPr>
                <a:t>FALSE</a:t>
              </a:r>
              <a:r>
                <a:rPr lang="en-US" sz="1200">
                  <a:effectLst/>
                  <a:latin typeface="Segoe UI" panose="020B0502040204020203" pitchFamily="34" charset="0"/>
                  <a:ea typeface="Calibri" panose="020F0502020204030204" pitchFamily="34" charset="0"/>
                  <a:cs typeface="Segoe UI" panose="020B0502040204020203" pitchFamily="34" charset="0"/>
                </a:rPr>
                <a:t> otherwise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Identifies active cases and supports open‑case KPIs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6. Agency</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Trimmed and normalized text</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Standardized naming conventions</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Rows missing an agency were screened using </a:t>
              </a:r>
              <a:r>
                <a:rPr lang="en-US" sz="1200">
                  <a:solidFill>
                    <a:schemeClr val="dk1"/>
                  </a:solidFill>
                  <a:effectLst/>
                  <a:latin typeface="Segoe UI" panose="020B0502040204020203" pitchFamily="34" charset="0"/>
                  <a:ea typeface="Calibri" panose="020F0502020204030204" pitchFamily="34" charset="0"/>
                  <a:cs typeface="Segoe UI" panose="020B0502040204020203" pitchFamily="34" charset="0"/>
                </a:rPr>
                <a:t>Is_MissingAgency_ValidCase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Primary categorical dimension for filtering and workload analysis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7. Longitude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Cleaned and validated; approximately 10% of records contain coordinates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Supports optional geospatial analysis and mapping</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8. Latitude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Cleaned and validated; paired with Longitude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Enables location‑based insights when coordinates are present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9. Has Location</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Boolean flag:</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b="1">
                  <a:effectLst/>
                  <a:latin typeface="Segoe UI" panose="020B0502040204020203" pitchFamily="34" charset="0"/>
                  <a:ea typeface="Calibri" panose="020F0502020204030204" pitchFamily="34" charset="0"/>
                  <a:cs typeface="Segoe UI" panose="020B0502040204020203" pitchFamily="34" charset="0"/>
                </a:rPr>
                <a:t>TRUE</a:t>
              </a:r>
              <a:r>
                <a:rPr lang="en-US" sz="1200">
                  <a:effectLst/>
                  <a:latin typeface="Segoe UI" panose="020B0502040204020203" pitchFamily="34" charset="0"/>
                  <a:ea typeface="Calibri" panose="020F0502020204030204" pitchFamily="34" charset="0"/>
                  <a:cs typeface="Segoe UI" panose="020B0502040204020203" pitchFamily="34" charset="0"/>
                </a:rPr>
                <a:t> if both Longitude and Latitude are present</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b="1">
                  <a:effectLst/>
                  <a:latin typeface="Segoe UI" panose="020B0502040204020203" pitchFamily="34" charset="0"/>
                  <a:ea typeface="Calibri" panose="020F0502020204030204" pitchFamily="34" charset="0"/>
                  <a:cs typeface="Segoe UI" panose="020B0502040204020203" pitchFamily="34" charset="0"/>
                </a:rPr>
                <a:t>FALSE</a:t>
              </a:r>
              <a:r>
                <a:rPr lang="en-US" sz="1200">
                  <a:effectLst/>
                  <a:latin typeface="Segoe UI" panose="020B0502040204020203" pitchFamily="34" charset="0"/>
                  <a:ea typeface="Calibri" panose="020F0502020204030204" pitchFamily="34" charset="0"/>
                  <a:cs typeface="Segoe UI" panose="020B0502040204020203" pitchFamily="34" charset="0"/>
                </a:rPr>
                <a:t> otherwise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Allows filtering between geocoded and non‑geocoded records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10. Is_Continuation</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Flags rows that lacked both Created Date and Agency in the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Used to screen out structurally incomplete records during cleaning</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11. Is_MissingAgency_ValidCase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Flags rows with a valid Created Date but missing Agency</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Ensures that only analytically valid records are retained in Clean_311</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12. Council District</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Cleaned and validated; missing districts flagged in QA</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Identifies the city district where the request originated or was serviced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13. QA Flags </a:t>
              </a:r>
              <a:r>
                <a:rPr lang="en-US" sz="1200" b="1" i="1">
                  <a:latin typeface="Segoe UI" panose="020B0502040204020203" pitchFamily="34" charset="0"/>
                  <a:ea typeface="Calibri" panose="020F0502020204030204" pitchFamily="34" charset="0"/>
                  <a:cs typeface="Segoe UI" panose="020B0502040204020203" pitchFamily="34" charset="0"/>
                </a:rPr>
                <a:t>(Clean_311 only)</a:t>
              </a:r>
              <a:endParaRPr lang="en-US" sz="1200" b="1">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Flags any row where a column did not align with its definition</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Examples:</a:t>
              </a:r>
              <a:endParaRPr lang="en-US" sz="1200">
                <a:latin typeface="Segoe UI" panose="020B0502040204020203" pitchFamily="34" charset="0"/>
                <a:ea typeface="Calibri" panose="020F0502020204030204" pitchFamily="34" charset="0"/>
                <a:cs typeface="Segoe UI" panose="020B0502040204020203" pitchFamily="34" charset="0"/>
              </a:endParaRPr>
            </a:p>
            <a:p>
              <a:pPr lvl="2"/>
              <a:r>
                <a:rPr lang="en-US" sz="1200">
                  <a:effectLst/>
                  <a:latin typeface="Segoe UI" panose="020B0502040204020203" pitchFamily="34" charset="0"/>
                  <a:ea typeface="Calibri" panose="020F0502020204030204" pitchFamily="34" charset="0"/>
                  <a:cs typeface="Segoe UI" panose="020B0502040204020203" pitchFamily="34" charset="0"/>
                </a:rPr>
                <a:t>Missing District → “Missing District”</a:t>
              </a:r>
              <a:endParaRPr lang="en-US" sz="1200">
                <a:latin typeface="Segoe UI" panose="020B0502040204020203" pitchFamily="34" charset="0"/>
                <a:ea typeface="Calibri" panose="020F0502020204030204" pitchFamily="34" charset="0"/>
                <a:cs typeface="Segoe UI" panose="020B0502040204020203" pitchFamily="34" charset="0"/>
              </a:endParaRPr>
            </a:p>
            <a:p>
              <a:pPr lvl="2"/>
              <a:r>
                <a:rPr lang="en-US" sz="1200">
                  <a:effectLst/>
                  <a:latin typeface="Segoe UI" panose="020B0502040204020203" pitchFamily="34" charset="0"/>
                  <a:ea typeface="Calibri" panose="020F0502020204030204" pitchFamily="34" charset="0"/>
                  <a:cs typeface="Segoe UI" panose="020B0502040204020203" pitchFamily="34" charset="0"/>
                </a:rPr>
                <a:t>Missing Duration (Is Open = TRUE) → “#N/A Duration”</a:t>
              </a:r>
              <a:endParaRPr lang="en-US" sz="1200">
                <a:latin typeface="Segoe UI" panose="020B0502040204020203" pitchFamily="34" charset="0"/>
                <a:ea typeface="Calibri" panose="020F0502020204030204" pitchFamily="34" charset="0"/>
                <a:cs typeface="Segoe UI" panose="020B0502040204020203" pitchFamily="34" charset="0"/>
              </a:endParaRPr>
            </a:p>
            <a:p>
              <a:pPr lvl="2"/>
              <a:r>
                <a:rPr lang="en-US" sz="1200">
                  <a:effectLst/>
                  <a:latin typeface="Segoe UI" panose="020B0502040204020203" pitchFamily="34" charset="0"/>
                  <a:ea typeface="Calibri" panose="020F0502020204030204" pitchFamily="34" charset="0"/>
                  <a:cs typeface="Segoe UI" panose="020B0502040204020203" pitchFamily="34" charset="0"/>
                </a:rPr>
                <a:t>Missing Agency → “Missing Agency”</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Provides a transparent audit trail of data quality issues; excluded from Slice_311 to keep the dashboard clean and performant</a:t>
              </a:r>
              <a:endParaRPr lang="en-US" sz="1200">
                <a:latin typeface="Segoe UI" panose="020B0502040204020203" pitchFamily="34" charset="0"/>
                <a:ea typeface="Calibri" panose="020F0502020204030204" pitchFamily="34" charset="0"/>
                <a:cs typeface="Segoe UI" panose="020B0502040204020203" pitchFamily="34" charset="0"/>
              </a:endParaRPr>
            </a:p>
            <a:p>
              <a:endParaRPr lang="en-US" sz="1200">
                <a:latin typeface="Segoe UI" panose="020B0502040204020203" pitchFamily="34" charset="0"/>
                <a:ea typeface="Calibri" panose="020F0502020204030204" pitchFamily="34" charset="0"/>
                <a:cs typeface="Segoe UI" panose="020B0502040204020203" pitchFamily="34" charset="0"/>
              </a:endParaRPr>
            </a:p>
          </xdr:txBody>
        </xdr:sp>
      </mc:Choice>
      <mc:Fallback xmlns="">
        <xdr:sp macro="" textlink="">
          <xdr:nvSpPr>
            <xdr:cNvPr id="2" name="txt_Column_by_Column">
              <a:extLst>
                <a:ext uri="{FF2B5EF4-FFF2-40B4-BE49-F238E27FC236}">
                  <a16:creationId xmlns:a16="http://schemas.microsoft.com/office/drawing/2014/main" id="{3FB8CEAA-EE55-4D10-9AEF-AB97327CD831}"/>
                </a:ext>
              </a:extLst>
            </xdr:cNvPr>
            <xdr:cNvSpPr txBox="1"/>
          </xdr:nvSpPr>
          <xdr:spPr>
            <a:xfrm>
              <a:off x="0" y="42169080"/>
              <a:ext cx="6858000" cy="15030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panose="020B0502040204020203" pitchFamily="34" charset="0"/>
                  <a:ea typeface="Calibri" panose="020F0502020204030204" pitchFamily="34" charset="0"/>
                  <a:cs typeface="Segoe UI" panose="020B0502040204020203" pitchFamily="34" charset="0"/>
                </a:rPr>
                <a:t>## Column‑by‑Column Documentation</a:t>
              </a:r>
            </a:p>
            <a:p>
              <a:r>
                <a:rPr lang="en-US" sz="1200">
                  <a:effectLst/>
                  <a:latin typeface="Segoe UI" panose="020B0502040204020203" pitchFamily="34" charset="0"/>
                  <a:ea typeface="Calibri" panose="020F0502020204030204" pitchFamily="34" charset="0"/>
                  <a:cs typeface="Segoe UI" panose="020B0502040204020203" pitchFamily="34" charset="0"/>
                </a:rPr>
                <a:t>The </a:t>
              </a:r>
              <a:r>
                <a:rPr lang="en-US" sz="1200" b="1">
                  <a:effectLst/>
                  <a:latin typeface="Segoe UI" panose="020B0502040204020203" pitchFamily="34" charset="0"/>
                  <a:ea typeface="Calibri" panose="020F0502020204030204" pitchFamily="34" charset="0"/>
                  <a:cs typeface="Segoe UI" panose="020B0502040204020203" pitchFamily="34" charset="0"/>
                </a:rPr>
                <a:t>Clean_311</a:t>
              </a:r>
              <a:r>
                <a:rPr lang="en-US" sz="1200">
                  <a:effectLst/>
                  <a:latin typeface="Segoe UI" panose="020B0502040204020203" pitchFamily="34" charset="0"/>
                  <a:ea typeface="Calibri" panose="020F0502020204030204" pitchFamily="34" charset="0"/>
                  <a:cs typeface="Segoe UI" panose="020B0502040204020203" pitchFamily="34" charset="0"/>
                </a:rPr>
                <a:t> sheet contains the fully cleaned and validated dataset used throughout the workbook. The </a:t>
              </a:r>
              <a:r>
                <a:rPr lang="en-US" sz="1200" b="1">
                  <a:effectLst/>
                  <a:latin typeface="Segoe UI" panose="020B0502040204020203" pitchFamily="34" charset="0"/>
                  <a:ea typeface="Calibri" panose="020F0502020204030204" pitchFamily="34" charset="0"/>
                  <a:cs typeface="Segoe UI" panose="020B0502040204020203" pitchFamily="34" charset="0"/>
                </a:rPr>
                <a:t>Slice_311</a:t>
              </a:r>
              <a:r>
                <a:rPr lang="en-US" sz="1200">
                  <a:effectLst/>
                  <a:latin typeface="Segoe UI" panose="020B0502040204020203" pitchFamily="34" charset="0"/>
                  <a:ea typeface="Calibri" panose="020F0502020204030204" pitchFamily="34" charset="0"/>
                  <a:cs typeface="Segoe UI" panose="020B0502040204020203" pitchFamily="34" charset="0"/>
                </a:rPr>
                <a:t> sheet contains the most recent 500 records from Clean_311 and includes all columns </a:t>
              </a:r>
              <a:r>
                <a:rPr lang="en-US" sz="1200" i="1">
                  <a:effectLst/>
                  <a:latin typeface="Segoe UI" panose="020B0502040204020203" pitchFamily="34" charset="0"/>
                  <a:ea typeface="Calibri" panose="020F0502020204030204" pitchFamily="34" charset="0"/>
                  <a:cs typeface="Segoe UI" panose="020B0502040204020203" pitchFamily="34" charset="0"/>
                </a:rPr>
                <a:t>except</a:t>
              </a:r>
              <a:r>
                <a:rPr lang="en-US" sz="1200">
                  <a:effectLst/>
                  <a:latin typeface="Segoe UI" panose="020B0502040204020203" pitchFamily="34" charset="0"/>
                  <a:ea typeface="Calibri" panose="020F0502020204030204" pitchFamily="34" charset="0"/>
                  <a:cs typeface="Segoe UI" panose="020B0502040204020203" pitchFamily="34" charset="0"/>
                </a:rPr>
                <a:t> QA Flags. Each field is documented below, including its source, transformation logic, and analytical purpose.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 Case Status</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Cleaned for whitespace, case, and formatting inconsistencies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Input to the canonical status mapping table; represents the operational state of each request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2. Created Date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Converted to a valid Excel date; rows missing a created date were screened out using </a:t>
              </a:r>
              <a:r>
                <a:rPr lang="en-US" sz="1200">
                  <a:solidFill>
                    <a:schemeClr val="dk1"/>
                  </a:solidFill>
                  <a:effectLst/>
                  <a:latin typeface="Segoe UI" panose="020B0502040204020203" pitchFamily="34" charset="0"/>
                  <a:ea typeface="Calibri" panose="020F0502020204030204" pitchFamily="34" charset="0"/>
                  <a:cs typeface="Segoe UI" panose="020B0502040204020203" pitchFamily="34" charset="0"/>
                </a:rPr>
                <a:t>Is_Continuation</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Primary time index for all rolling windows, KPIs, and trend analyses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3. Closed Date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Standardized to a valid Excel date; invalid or impossible closure dates removed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Used to compute request duration and determine whether a case is open or closed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4. Duration</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a:t>
              </a:r>
              <a:r>
                <a:rPr lang="en-US" sz="1200" b="0" i="0">
                  <a:latin typeface="Cambria Math" panose="02040503050406030204" pitchFamily="18" charset="0"/>
                  <a:ea typeface="Calibri" panose="020F0502020204030204" pitchFamily="34" charset="0"/>
                  <a:cs typeface="Segoe UI" panose="020B0502040204020203" pitchFamily="34" charset="0"/>
                </a:rPr>
                <a:t>"Duration</a:t>
              </a:r>
              <a:r>
                <a:rPr lang="en-US" sz="1200" b="0" i="0">
                  <a:solidFill>
                    <a:schemeClr val="dk1"/>
                  </a:solidFill>
                  <a:latin typeface="Cambria Math" panose="02040503050406030204" pitchFamily="18" charset="0"/>
                  <a:ea typeface="+mn-ea"/>
                  <a:cs typeface="+mn-cs"/>
                </a:rPr>
                <a:t>"="</a:t>
              </a:r>
              <a:r>
                <a:rPr lang="en-US" sz="1200" b="0" i="0">
                  <a:solidFill>
                    <a:schemeClr val="dk1"/>
                  </a:solidFill>
                  <a:latin typeface="Cambria Math" panose="02040503050406030204" pitchFamily="18" charset="0"/>
                  <a:ea typeface="Calibri" panose="020F0502020204030204" pitchFamily="34" charset="0"/>
                  <a:cs typeface="Segoe UI" panose="020B0502040204020203" pitchFamily="34" charset="0"/>
                </a:rPr>
                <a:t>Closed Date</a:t>
              </a:r>
              <a:r>
                <a:rPr lang="en-US" sz="1200" b="0" i="0">
                  <a:solidFill>
                    <a:schemeClr val="dk1"/>
                  </a:solidFill>
                  <a:latin typeface="Cambria Math" panose="02040503050406030204" pitchFamily="18" charset="0"/>
                  <a:ea typeface="+mn-ea"/>
                  <a:cs typeface="+mn-cs"/>
                </a:rPr>
                <a:t>"−"</a:t>
              </a:r>
              <a:r>
                <a:rPr lang="en-US" sz="1200" b="0" i="0">
                  <a:solidFill>
                    <a:schemeClr val="dk1"/>
                  </a:solidFill>
                  <a:latin typeface="Cambria Math" panose="02040503050406030204" pitchFamily="18" charset="0"/>
                  <a:ea typeface="Calibri" panose="020F0502020204030204" pitchFamily="34" charset="0"/>
                  <a:cs typeface="Segoe UI" panose="020B0502040204020203" pitchFamily="34" charset="0"/>
                </a:rPr>
                <a:t>Created Date</a:t>
              </a:r>
              <a:r>
                <a:rPr lang="en-US" sz="1200" b="0" i="0">
                  <a:solidFill>
                    <a:schemeClr val="dk1"/>
                  </a:solidFill>
                  <a:latin typeface="Segoe UI" panose="020B0502040204020203" pitchFamily="34" charset="0"/>
                  <a:ea typeface="Calibri" panose="020F0502020204030204" pitchFamily="34" charset="0"/>
                  <a:cs typeface="Segoe UI" panose="020B0502040204020203" pitchFamily="34" charset="0"/>
                </a:rPr>
                <a:t>"</a:t>
              </a:r>
              <a:r>
                <a:rPr lang="en-US" sz="1200">
                  <a:effectLst/>
                  <a:latin typeface="Segoe UI" panose="020B0502040204020203" pitchFamily="34" charset="0"/>
                  <a:ea typeface="Calibri" panose="020F0502020204030204" pitchFamily="34" charset="0"/>
                  <a:cs typeface="Segoe UI" panose="020B0502040204020203" pitchFamily="34" charset="0"/>
                </a:rPr>
                <a:t>Rows with missing Closed Date return </a:t>
              </a:r>
              <a:r>
                <a:rPr lang="en-US" sz="1200">
                  <a:solidFill>
                    <a:schemeClr val="dk1"/>
                  </a:solidFill>
                  <a:effectLst/>
                  <a:latin typeface="Segoe UI" panose="020B0502040204020203" pitchFamily="34" charset="0"/>
                  <a:ea typeface="Calibri" panose="020F0502020204030204" pitchFamily="34" charset="0"/>
                  <a:cs typeface="Segoe UI" panose="020B0502040204020203" pitchFamily="34" charset="0"/>
                </a:rPr>
                <a:t>#N/A</a:t>
              </a:r>
              <a:r>
                <a:rPr lang="en-US" sz="1200">
                  <a:effectLst/>
                  <a:latin typeface="Segoe UI" panose="020B0502040204020203" pitchFamily="34" charset="0"/>
                  <a:ea typeface="Calibri" panose="020F0502020204030204" pitchFamily="34" charset="0"/>
                  <a:cs typeface="Segoe UI" panose="020B0502040204020203" pitchFamily="34" charset="0"/>
                </a:rPr>
                <a:t> (handled via </a:t>
              </a:r>
              <a:r>
                <a:rPr lang="en-US" sz="1200">
                  <a:solidFill>
                    <a:schemeClr val="dk1"/>
                  </a:solidFill>
                  <a:effectLst/>
                  <a:latin typeface="Segoe UI" panose="020B0502040204020203" pitchFamily="34" charset="0"/>
                  <a:ea typeface="Calibri" panose="020F0502020204030204" pitchFamily="34" charset="0"/>
                  <a:cs typeface="Segoe UI" panose="020B0502040204020203" pitchFamily="34" charset="0"/>
                </a:rPr>
                <a:t>Is Open</a:t>
              </a:r>
              <a:r>
                <a:rPr lang="en-US" sz="1200">
                  <a:effectLst/>
                  <a:latin typeface="Segoe UI" panose="020B0502040204020203" pitchFamily="34" charset="0"/>
                  <a:ea typeface="Calibri" panose="020F0502020204030204" pitchFamily="34" charset="0"/>
                  <a:cs typeface="Segoe UI" panose="020B0502040204020203" pitchFamily="34" charset="0"/>
                </a:rPr>
                <a: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Measures resolution time; used in KPIs and optional duration‑based insights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5. Is Open</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Boolean flag:</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b="1">
                  <a:effectLst/>
                  <a:latin typeface="Segoe UI" panose="020B0502040204020203" pitchFamily="34" charset="0"/>
                  <a:ea typeface="Calibri" panose="020F0502020204030204" pitchFamily="34" charset="0"/>
                  <a:cs typeface="Segoe UI" panose="020B0502040204020203" pitchFamily="34" charset="0"/>
                </a:rPr>
                <a:t>TRUE</a:t>
              </a:r>
              <a:r>
                <a:rPr lang="en-US" sz="1200">
                  <a:effectLst/>
                  <a:latin typeface="Segoe UI" panose="020B0502040204020203" pitchFamily="34" charset="0"/>
                  <a:ea typeface="Calibri" panose="020F0502020204030204" pitchFamily="34" charset="0"/>
                  <a:cs typeface="Segoe UI" panose="020B0502040204020203" pitchFamily="34" charset="0"/>
                </a:rPr>
                <a:t> if Closed Date is blank</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b="1">
                  <a:effectLst/>
                  <a:latin typeface="Segoe UI" panose="020B0502040204020203" pitchFamily="34" charset="0"/>
                  <a:ea typeface="Calibri" panose="020F0502020204030204" pitchFamily="34" charset="0"/>
                  <a:cs typeface="Segoe UI" panose="020B0502040204020203" pitchFamily="34" charset="0"/>
                </a:rPr>
                <a:t>FALSE</a:t>
              </a:r>
              <a:r>
                <a:rPr lang="en-US" sz="1200">
                  <a:effectLst/>
                  <a:latin typeface="Segoe UI" panose="020B0502040204020203" pitchFamily="34" charset="0"/>
                  <a:ea typeface="Calibri" panose="020F0502020204030204" pitchFamily="34" charset="0"/>
                  <a:cs typeface="Segoe UI" panose="020B0502040204020203" pitchFamily="34" charset="0"/>
                </a:rPr>
                <a:t> otherwise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Identifies active cases and supports open‑case KPIs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6. Agency</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Trimmed and normalized text</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Standardized naming conventions</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Rows missing an agency were screened using </a:t>
              </a:r>
              <a:r>
                <a:rPr lang="en-US" sz="1200">
                  <a:solidFill>
                    <a:schemeClr val="dk1"/>
                  </a:solidFill>
                  <a:effectLst/>
                  <a:latin typeface="Segoe UI" panose="020B0502040204020203" pitchFamily="34" charset="0"/>
                  <a:ea typeface="Calibri" panose="020F0502020204030204" pitchFamily="34" charset="0"/>
                  <a:cs typeface="Segoe UI" panose="020B0502040204020203" pitchFamily="34" charset="0"/>
                </a:rPr>
                <a:t>Is_MissingAgency_ValidCase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Primary categorical dimension for filtering and workload analysis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7. Longitude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Cleaned and validated; approximately 10% of records contain coordinates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Supports optional geospatial analysis and mapping</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8. Latitude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Cleaned and validated; paired with Longitude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Enables location‑based insights when coordinates are present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9. Has Location</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Boolean flag:</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b="1">
                  <a:effectLst/>
                  <a:latin typeface="Segoe UI" panose="020B0502040204020203" pitchFamily="34" charset="0"/>
                  <a:ea typeface="Calibri" panose="020F0502020204030204" pitchFamily="34" charset="0"/>
                  <a:cs typeface="Segoe UI" panose="020B0502040204020203" pitchFamily="34" charset="0"/>
                </a:rPr>
                <a:t>TRUE</a:t>
              </a:r>
              <a:r>
                <a:rPr lang="en-US" sz="1200">
                  <a:effectLst/>
                  <a:latin typeface="Segoe UI" panose="020B0502040204020203" pitchFamily="34" charset="0"/>
                  <a:ea typeface="Calibri" panose="020F0502020204030204" pitchFamily="34" charset="0"/>
                  <a:cs typeface="Segoe UI" panose="020B0502040204020203" pitchFamily="34" charset="0"/>
                </a:rPr>
                <a:t> if both Longitude and Latitude are present</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b="1">
                  <a:effectLst/>
                  <a:latin typeface="Segoe UI" panose="020B0502040204020203" pitchFamily="34" charset="0"/>
                  <a:ea typeface="Calibri" panose="020F0502020204030204" pitchFamily="34" charset="0"/>
                  <a:cs typeface="Segoe UI" panose="020B0502040204020203" pitchFamily="34" charset="0"/>
                </a:rPr>
                <a:t>FALSE</a:t>
              </a:r>
              <a:r>
                <a:rPr lang="en-US" sz="1200">
                  <a:effectLst/>
                  <a:latin typeface="Segoe UI" panose="020B0502040204020203" pitchFamily="34" charset="0"/>
                  <a:ea typeface="Calibri" panose="020F0502020204030204" pitchFamily="34" charset="0"/>
                  <a:cs typeface="Segoe UI" panose="020B0502040204020203" pitchFamily="34" charset="0"/>
                </a:rPr>
                <a:t> otherwise</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Allows filtering between geocoded and non‑geocoded records</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10. Is_Continuation</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Flags rows that lacked both Created Date and Agency in the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Used to screen out structurally incomplete records during cleaning</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11. Is_MissingAgency_ValidCase</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Flags rows with a valid Created Date but missing Agency</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Ensures that only analytically valid records are retained in Clean_311</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12. Council District</a:t>
              </a: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Raw dataset</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r>
                <a:rPr lang="en-US" sz="1200">
                  <a:effectLst/>
                  <a:latin typeface="Segoe UI" panose="020B0502040204020203" pitchFamily="34" charset="0"/>
                  <a:ea typeface="Calibri" panose="020F0502020204030204" pitchFamily="34" charset="0"/>
                  <a:cs typeface="Segoe UI" panose="020B0502040204020203" pitchFamily="34" charset="0"/>
                </a:rPr>
                <a:t> Cleaned and validated; missing districts flagged in QA</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Identifies the city district where the request originated or was serviced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latin typeface="Segoe UI" panose="020B0502040204020203" pitchFamily="34" charset="0"/>
                  <a:ea typeface="Calibri" panose="020F0502020204030204" pitchFamily="34" charset="0"/>
                  <a:cs typeface="Segoe UI" panose="020B0502040204020203" pitchFamily="34" charset="0"/>
                </a:rPr>
                <a:t>13. QA Flags </a:t>
              </a:r>
              <a:r>
                <a:rPr lang="en-US" sz="1200" b="1" i="1">
                  <a:latin typeface="Segoe UI" panose="020B0502040204020203" pitchFamily="34" charset="0"/>
                  <a:ea typeface="Calibri" panose="020F0502020204030204" pitchFamily="34" charset="0"/>
                  <a:cs typeface="Segoe UI" panose="020B0502040204020203" pitchFamily="34" charset="0"/>
                </a:rPr>
                <a:t>(Clean_311 only)</a:t>
              </a:r>
              <a:endParaRPr lang="en-US" sz="1200" b="1">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Source:</a:t>
              </a:r>
              <a:r>
                <a:rPr lang="en-US" sz="1200">
                  <a:effectLst/>
                  <a:latin typeface="Segoe UI" panose="020B0502040204020203" pitchFamily="34" charset="0"/>
                  <a:ea typeface="Calibri" panose="020F0502020204030204" pitchFamily="34" charset="0"/>
                  <a:cs typeface="Segoe UI" panose="020B0502040204020203" pitchFamily="34" charset="0"/>
                </a:rPr>
                <a:t> Derived field</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Transformation:</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Flags any row where a column did not align with its definition</a:t>
              </a:r>
              <a:endParaRPr lang="en-US" sz="1200">
                <a:latin typeface="Segoe UI" panose="020B0502040204020203" pitchFamily="34" charset="0"/>
                <a:ea typeface="Calibri" panose="020F0502020204030204" pitchFamily="34" charset="0"/>
                <a:cs typeface="Segoe UI" panose="020B0502040204020203" pitchFamily="34" charset="0"/>
              </a:endParaRPr>
            </a:p>
            <a:p>
              <a:pPr lvl="1"/>
              <a:r>
                <a:rPr lang="en-US" sz="1200">
                  <a:effectLst/>
                  <a:latin typeface="Segoe UI" panose="020B0502040204020203" pitchFamily="34" charset="0"/>
                  <a:ea typeface="Calibri" panose="020F0502020204030204" pitchFamily="34" charset="0"/>
                  <a:cs typeface="Segoe UI" panose="020B0502040204020203" pitchFamily="34" charset="0"/>
                </a:rPr>
                <a:t>Examples:</a:t>
              </a:r>
              <a:endParaRPr lang="en-US" sz="1200">
                <a:latin typeface="Segoe UI" panose="020B0502040204020203" pitchFamily="34" charset="0"/>
                <a:ea typeface="Calibri" panose="020F0502020204030204" pitchFamily="34" charset="0"/>
                <a:cs typeface="Segoe UI" panose="020B0502040204020203" pitchFamily="34" charset="0"/>
              </a:endParaRPr>
            </a:p>
            <a:p>
              <a:pPr lvl="2"/>
              <a:r>
                <a:rPr lang="en-US" sz="1200">
                  <a:effectLst/>
                  <a:latin typeface="Segoe UI" panose="020B0502040204020203" pitchFamily="34" charset="0"/>
                  <a:ea typeface="Calibri" panose="020F0502020204030204" pitchFamily="34" charset="0"/>
                  <a:cs typeface="Segoe UI" panose="020B0502040204020203" pitchFamily="34" charset="0"/>
                </a:rPr>
                <a:t>Missing District → “Missing District”</a:t>
              </a:r>
              <a:endParaRPr lang="en-US" sz="1200">
                <a:latin typeface="Segoe UI" panose="020B0502040204020203" pitchFamily="34" charset="0"/>
                <a:ea typeface="Calibri" panose="020F0502020204030204" pitchFamily="34" charset="0"/>
                <a:cs typeface="Segoe UI" panose="020B0502040204020203" pitchFamily="34" charset="0"/>
              </a:endParaRPr>
            </a:p>
            <a:p>
              <a:pPr lvl="2"/>
              <a:r>
                <a:rPr lang="en-US" sz="1200">
                  <a:effectLst/>
                  <a:latin typeface="Segoe UI" panose="020B0502040204020203" pitchFamily="34" charset="0"/>
                  <a:ea typeface="Calibri" panose="020F0502020204030204" pitchFamily="34" charset="0"/>
                  <a:cs typeface="Segoe UI" panose="020B0502040204020203" pitchFamily="34" charset="0"/>
                </a:rPr>
                <a:t>Missing Duration (Is Open = TRUE) → “#N/A Duration”</a:t>
              </a:r>
              <a:endParaRPr lang="en-US" sz="1200">
                <a:latin typeface="Segoe UI" panose="020B0502040204020203" pitchFamily="34" charset="0"/>
                <a:ea typeface="Calibri" panose="020F0502020204030204" pitchFamily="34" charset="0"/>
                <a:cs typeface="Segoe UI" panose="020B0502040204020203" pitchFamily="34" charset="0"/>
              </a:endParaRPr>
            </a:p>
            <a:p>
              <a:pPr lvl="2"/>
              <a:r>
                <a:rPr lang="en-US" sz="1200">
                  <a:effectLst/>
                  <a:latin typeface="Segoe UI" panose="020B0502040204020203" pitchFamily="34" charset="0"/>
                  <a:ea typeface="Calibri" panose="020F0502020204030204" pitchFamily="34" charset="0"/>
                  <a:cs typeface="Segoe UI" panose="020B0502040204020203" pitchFamily="34" charset="0"/>
                </a:rPr>
                <a:t>Missing Agency → “Missing Agency”</a:t>
              </a:r>
              <a:endParaRPr lang="en-US" sz="1200">
                <a:latin typeface="Segoe UI" panose="020B0502040204020203" pitchFamily="34" charset="0"/>
                <a:ea typeface="Calibri" panose="020F0502020204030204" pitchFamily="34" charset="0"/>
                <a:cs typeface="Segoe UI" panose="020B0502040204020203" pitchFamily="34" charset="0"/>
              </a:endParaRPr>
            </a:p>
            <a:p>
              <a:r>
                <a:rPr lang="en-US" sz="1200" b="1">
                  <a:effectLst/>
                  <a:latin typeface="Segoe UI" panose="020B0502040204020203" pitchFamily="34" charset="0"/>
                  <a:ea typeface="Calibri" panose="020F0502020204030204" pitchFamily="34" charset="0"/>
                  <a:cs typeface="Segoe UI" panose="020B0502040204020203" pitchFamily="34" charset="0"/>
                </a:rPr>
                <a:t>Purpose:</a:t>
              </a:r>
              <a:r>
                <a:rPr lang="en-US" sz="1200">
                  <a:effectLst/>
                  <a:latin typeface="Segoe UI" panose="020B0502040204020203" pitchFamily="34" charset="0"/>
                  <a:ea typeface="Calibri" panose="020F0502020204030204" pitchFamily="34" charset="0"/>
                  <a:cs typeface="Segoe UI" panose="020B0502040204020203" pitchFamily="34" charset="0"/>
                </a:rPr>
                <a:t> Provides a transparent audit trail of data quality issues; excluded from Slice_311 to keep the dashboard clean and performant</a:t>
              </a:r>
              <a:endParaRPr lang="en-US" sz="1200">
                <a:latin typeface="Segoe UI" panose="020B0502040204020203" pitchFamily="34" charset="0"/>
                <a:ea typeface="Calibri" panose="020F0502020204030204" pitchFamily="34" charset="0"/>
                <a:cs typeface="Segoe UI" panose="020B0502040204020203" pitchFamily="34" charset="0"/>
              </a:endParaRPr>
            </a:p>
            <a:p>
              <a:endParaRPr lang="en-US" sz="1200">
                <a:latin typeface="Segoe UI" panose="020B0502040204020203" pitchFamily="34" charset="0"/>
                <a:ea typeface="Calibri" panose="020F0502020204030204" pitchFamily="34" charset="0"/>
                <a:cs typeface="Segoe UI" panose="020B0502040204020203" pitchFamily="34" charset="0"/>
              </a:endParaRPr>
            </a:p>
          </xdr:txBody>
        </xdr:sp>
      </mc:Fallback>
    </mc:AlternateContent>
    <xdr:clientData/>
  </xdr:twoCellAnchor>
  <xdr:twoCellAnchor>
    <xdr:from>
      <xdr:col>0</xdr:col>
      <xdr:colOff>0</xdr:colOff>
      <xdr:row>0</xdr:row>
      <xdr:rowOff>7620</xdr:rowOff>
    </xdr:from>
    <xdr:to>
      <xdr:col>10</xdr:col>
      <xdr:colOff>152400</xdr:colOff>
      <xdr:row>7</xdr:row>
      <xdr:rowOff>53340</xdr:rowOff>
    </xdr:to>
    <xdr:sp macro="" textlink="">
      <xdr:nvSpPr>
        <xdr:cNvPr id="3" name="txt_Intro">
          <a:extLst>
            <a:ext uri="{FF2B5EF4-FFF2-40B4-BE49-F238E27FC236}">
              <a16:creationId xmlns:a16="http://schemas.microsoft.com/office/drawing/2014/main" id="{49C7C41C-39C5-407C-AED1-C0E2DC84F908}"/>
            </a:ext>
          </a:extLst>
        </xdr:cNvPr>
        <xdr:cNvSpPr txBox="1"/>
      </xdr:nvSpPr>
      <xdr:spPr>
        <a:xfrm>
          <a:off x="0" y="7620"/>
          <a:ext cx="6858000" cy="1615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effectLst/>
              <a:latin typeface="Segoe UI" panose="020B0502040204020203" pitchFamily="34" charset="0"/>
              <a:cs typeface="Segoe UI" panose="020B0502040204020203" pitchFamily="34" charset="0"/>
            </a:rPr>
            <a:t>Denver 311 — Portfolio</a:t>
          </a:r>
        </a:p>
        <a:p>
          <a:r>
            <a:rPr lang="en-US" sz="1200" b="1">
              <a:effectLst/>
              <a:latin typeface="Segoe UI" panose="020B0502040204020203" pitchFamily="34" charset="0"/>
              <a:cs typeface="Segoe UI" panose="020B0502040204020203" pitchFamily="34" charset="0"/>
            </a:rPr>
            <a:t>Dashboard</a:t>
          </a:r>
          <a:r>
            <a:rPr lang="en-US" sz="1200">
              <a:effectLst/>
              <a:latin typeface="Segoe UI" panose="020B0502040204020203" pitchFamily="34" charset="0"/>
              <a:cs typeface="Segoe UI" panose="020B0502040204020203" pitchFamily="34" charset="0"/>
            </a:rPr>
            <a:t> </a:t>
          </a:r>
          <a:r>
            <a:rPr lang="en-US" sz="1200" b="1">
              <a:effectLst/>
              <a:latin typeface="Segoe UI" panose="020B0502040204020203" pitchFamily="34" charset="0"/>
              <a:cs typeface="Segoe UI" panose="020B0502040204020203" pitchFamily="34" charset="0"/>
            </a:rPr>
            <a:t>Version:</a:t>
          </a:r>
          <a:r>
            <a:rPr lang="en-US" sz="1200">
              <a:effectLst/>
              <a:latin typeface="Segoe UI" panose="020B0502040204020203" pitchFamily="34" charset="0"/>
              <a:cs typeface="Segoe UI" panose="020B0502040204020203" pitchFamily="34" charset="0"/>
            </a:rPr>
            <a:t> 1.0 (Portfolio Release) </a:t>
          </a:r>
        </a:p>
        <a:p>
          <a:r>
            <a:rPr lang="en-US" sz="1200" b="1">
              <a:effectLst/>
              <a:latin typeface="Segoe UI" panose="020B0502040204020203" pitchFamily="34" charset="0"/>
              <a:cs typeface="Segoe UI" panose="020B0502040204020203" pitchFamily="34" charset="0"/>
            </a:rPr>
            <a:t>Author:</a:t>
          </a:r>
          <a:r>
            <a:rPr lang="en-US" sz="1200">
              <a:effectLst/>
              <a:latin typeface="Segoe UI" panose="020B0502040204020203" pitchFamily="34" charset="0"/>
              <a:cs typeface="Segoe UI" panose="020B0502040204020203" pitchFamily="34" charset="0"/>
            </a:rPr>
            <a:t> Roger Davis</a:t>
          </a:r>
        </a:p>
        <a:p>
          <a:r>
            <a:rPr lang="en-US" sz="1200" b="1">
              <a:effectLst/>
              <a:latin typeface="Segoe UI" panose="020B0502040204020203" pitchFamily="34" charset="0"/>
              <a:cs typeface="Segoe UI" panose="020B0502040204020203" pitchFamily="34" charset="0"/>
            </a:rPr>
            <a:t>Last Updated:</a:t>
          </a:r>
          <a:r>
            <a:rPr lang="en-US" sz="1200">
              <a:effectLst/>
              <a:latin typeface="Segoe UI" panose="020B0502040204020203" pitchFamily="34" charset="0"/>
              <a:cs typeface="Segoe UI" panose="020B0502040204020203" pitchFamily="34" charset="0"/>
            </a:rPr>
            <a:t> March 2026</a:t>
          </a:r>
        </a:p>
        <a:p>
          <a:endParaRPr lang="en-US" sz="120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Segoe UI" panose="020B0502040204020203" pitchFamily="34" charset="0"/>
              <a:ea typeface="+mn-ea"/>
              <a:cs typeface="Segoe UI" panose="020B0502040204020203" pitchFamily="34" charset="0"/>
            </a:rPr>
            <a:t>A portfolio‑ready Excel dashboard that demonstrates transparent data cleaning, semantic modeling, and dynamic visualization built on a stable, extensible architecture.</a:t>
          </a:r>
          <a:endParaRPr lang="en-US" sz="1400">
            <a:latin typeface="Segoe UI" panose="020B0502040204020203" pitchFamily="34" charset="0"/>
            <a:cs typeface="Segoe UI" panose="020B0502040204020203" pitchFamily="34" charset="0"/>
          </a:endParaRPr>
        </a:p>
      </xdr:txBody>
    </xdr:sp>
    <xdr:clientData/>
  </xdr:twoCellAnchor>
  <xdr:twoCellAnchor>
    <xdr:from>
      <xdr:col>0</xdr:col>
      <xdr:colOff>0</xdr:colOff>
      <xdr:row>7</xdr:row>
      <xdr:rowOff>60960</xdr:rowOff>
    </xdr:from>
    <xdr:to>
      <xdr:col>10</xdr:col>
      <xdr:colOff>152400</xdr:colOff>
      <xdr:row>14</xdr:row>
      <xdr:rowOff>175260</xdr:rowOff>
    </xdr:to>
    <xdr:sp macro="" textlink="">
      <xdr:nvSpPr>
        <xdr:cNvPr id="4" name="txt_Project_Overview">
          <a:extLst>
            <a:ext uri="{FF2B5EF4-FFF2-40B4-BE49-F238E27FC236}">
              <a16:creationId xmlns:a16="http://schemas.microsoft.com/office/drawing/2014/main" id="{EC18BCDD-9D4C-44FB-A76F-F4154F91A822}"/>
            </a:ext>
          </a:extLst>
        </xdr:cNvPr>
        <xdr:cNvSpPr txBox="1"/>
      </xdr:nvSpPr>
      <xdr:spPr>
        <a:xfrm>
          <a:off x="0" y="1630680"/>
          <a:ext cx="6858000" cy="2255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effectLst/>
              <a:latin typeface="Segoe UI" panose="020B0502040204020203" pitchFamily="34" charset="0"/>
              <a:cs typeface="Segoe UI" panose="020B0502040204020203" pitchFamily="34" charset="0"/>
            </a:rPr>
            <a:t>## Project Overview</a:t>
          </a:r>
        </a:p>
        <a:p>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This workbook provides an interactive, portfolio‑ready analysis of Denver’s 311 service request data. It focuses on a curated slice of the dataset and presents a set of dynamic visualizations that highlight trends in request volume, agency workload, and operational timing. The dashboard is designed to be intuitive, self‑contained, and easy to explore, with all calculations driven by a semantic naming layer for clarity and maintainability.</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The goal of this project is to demonstrate clean data modeling, transparent transformation logic, and professional dashboard construction using modern Excel features such as dynamic arrays, spill ranges, and structured semantic names.</a:t>
          </a:r>
          <a:endParaRPr lang="en-US" sz="1200">
            <a:latin typeface="Segoe UI" panose="020B0502040204020203" pitchFamily="34" charset="0"/>
            <a:cs typeface="Segoe UI" panose="020B0502040204020203" pitchFamily="34" charset="0"/>
          </a:endParaRPr>
        </a:p>
        <a:p>
          <a:endParaRPr lang="en-US" sz="1400">
            <a:latin typeface="Segoe UI" panose="020B0502040204020203" pitchFamily="34" charset="0"/>
            <a:cs typeface="Segoe UI" panose="020B0502040204020203" pitchFamily="34" charset="0"/>
          </a:endParaRPr>
        </a:p>
      </xdr:txBody>
    </xdr:sp>
    <xdr:clientData/>
  </xdr:twoCellAnchor>
  <xdr:oneCellAnchor>
    <xdr:from>
      <xdr:col>0</xdr:col>
      <xdr:colOff>7620</xdr:colOff>
      <xdr:row>15</xdr:row>
      <xdr:rowOff>0</xdr:rowOff>
    </xdr:from>
    <xdr:ext cx="6858000" cy="2651760"/>
    <xdr:sp macro="" textlink="">
      <xdr:nvSpPr>
        <xdr:cNvPr id="5" name="txt_How_to_Use">
          <a:extLst>
            <a:ext uri="{FF2B5EF4-FFF2-40B4-BE49-F238E27FC236}">
              <a16:creationId xmlns:a16="http://schemas.microsoft.com/office/drawing/2014/main" id="{9DEB8EB5-2193-4FC7-A19F-2A3D5B18D288}"/>
            </a:ext>
          </a:extLst>
        </xdr:cNvPr>
        <xdr:cNvSpPr txBox="1"/>
      </xdr:nvSpPr>
      <xdr:spPr>
        <a:xfrm>
          <a:off x="7620" y="3909060"/>
          <a:ext cx="6858000" cy="2651760"/>
        </a:xfrm>
        <a:prstGeom prst="rect">
          <a:avLst/>
        </a:prstGeom>
        <a:solidFill>
          <a:schemeClr val="l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effectLst/>
              <a:latin typeface="Segoe UI" panose="020B0502040204020203" pitchFamily="34" charset="0"/>
              <a:cs typeface="Segoe UI" panose="020B0502040204020203" pitchFamily="34" charset="0"/>
            </a:rPr>
            <a:t>## How to Use This Workbook</a:t>
          </a:r>
          <a:endParaRPr lang="en-US" sz="1400">
            <a:latin typeface="Segoe UI" panose="020B0502040204020203" pitchFamily="34" charset="0"/>
            <a:cs typeface="Segoe UI" panose="020B0502040204020203" pitchFamily="34" charset="0"/>
          </a:endParaRPr>
        </a:p>
        <a:p>
          <a:endParaRPr lang="en-US" sz="1200">
            <a:effectLst/>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The dashboard on the Visuals sheet is fully interactive and driven by a set of clean, semantic named ranges. Users can explore the dataset through three primary controls: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Agency Selector</a:t>
          </a:r>
          <a:r>
            <a:rPr lang="en-US" sz="1200">
              <a:effectLst/>
              <a:latin typeface="Segoe UI" panose="020B0502040204020203" pitchFamily="34" charset="0"/>
              <a:cs typeface="Segoe UI" panose="020B0502040204020203" pitchFamily="34" charset="0"/>
            </a:rPr>
            <a:t> Choose an agency from the dropdown to filter the dataset and update all KPIs and charts.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Window Size Selector</a:t>
          </a:r>
          <a:r>
            <a:rPr lang="en-US" sz="1200">
              <a:effectLst/>
              <a:latin typeface="Segoe UI" panose="020B0502040204020203" pitchFamily="34" charset="0"/>
              <a:cs typeface="Segoe UI" panose="020B0502040204020203" pitchFamily="34" charset="0"/>
            </a:rPr>
            <a:t> Adjust the rolling window (in days) used to compute the KPIs and trend lines. This controls the smoothing applied to the time series.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Timeline Scroll Bar</a:t>
          </a:r>
          <a:r>
            <a:rPr lang="en-US" sz="1200">
              <a:effectLst/>
              <a:latin typeface="Segoe UI" panose="020B0502040204020203" pitchFamily="34" charset="0"/>
              <a:cs typeface="Segoe UI" panose="020B0502040204020203" pitchFamily="34" charset="0"/>
            </a:rPr>
            <a:t> Move through the dataset chronologically to focus on different periods of activity. All charts and KPIs update automatically based on the selected window and scroll position.</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The dashboard is designed to be intuitive and self‑contained. No manual refresh is required; all calculations spill dynamically from the semantic layer.</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oneCellAnchor>
  <xdr:oneCellAnchor>
    <xdr:from>
      <xdr:col>0</xdr:col>
      <xdr:colOff>0</xdr:colOff>
      <xdr:row>27</xdr:row>
      <xdr:rowOff>160020</xdr:rowOff>
    </xdr:from>
    <xdr:ext cx="6858000" cy="2362200"/>
    <xdr:sp macro="" textlink="">
      <xdr:nvSpPr>
        <xdr:cNvPr id="6" name="txt_Data_Dictionary">
          <a:extLst>
            <a:ext uri="{FF2B5EF4-FFF2-40B4-BE49-F238E27FC236}">
              <a16:creationId xmlns:a16="http://schemas.microsoft.com/office/drawing/2014/main" id="{7D10F793-6E47-40AF-B3A0-5E5E01F9ADA9}"/>
            </a:ext>
          </a:extLst>
        </xdr:cNvPr>
        <xdr:cNvSpPr txBox="1"/>
      </xdr:nvSpPr>
      <xdr:spPr>
        <a:xfrm>
          <a:off x="0" y="6568440"/>
          <a:ext cx="6858000" cy="236220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effectLst/>
              <a:latin typeface="Segoe UI" panose="020B0502040204020203" pitchFamily="34" charset="0"/>
              <a:cs typeface="Segoe UI" panose="020B0502040204020203" pitchFamily="34" charset="0"/>
            </a:rPr>
            <a:t>## Data Dictionary Summary</a:t>
          </a:r>
        </a:p>
        <a:p>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A complete, detailed data dictionary is provided on the Documentation sheet. The summary below highlights the core fields used throughout the dashboard:</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Created Date</a:t>
          </a:r>
          <a:r>
            <a:rPr lang="en-US" sz="1200">
              <a:effectLst/>
              <a:latin typeface="Segoe UI" panose="020B0502040204020203" pitchFamily="34" charset="0"/>
              <a:cs typeface="Segoe UI" panose="020B0502040204020203" pitchFamily="34" charset="0"/>
            </a:rPr>
            <a:t> — The date a service request was opened.</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Closed Date</a:t>
          </a:r>
          <a:r>
            <a:rPr lang="en-US" sz="1200">
              <a:effectLst/>
              <a:latin typeface="Segoe UI" panose="020B0502040204020203" pitchFamily="34" charset="0"/>
              <a:cs typeface="Segoe UI" panose="020B0502040204020203" pitchFamily="34" charset="0"/>
            </a:rPr>
            <a:t> — The date the request was resolved or closed.</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Duration</a:t>
          </a:r>
          <a:r>
            <a:rPr lang="en-US" sz="1200">
              <a:effectLst/>
              <a:latin typeface="Segoe UI" panose="020B0502040204020203" pitchFamily="34" charset="0"/>
              <a:cs typeface="Segoe UI" panose="020B0502040204020203" pitchFamily="34" charset="0"/>
            </a:rPr>
            <a:t> — The number of days between creation and closure.</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Agency</a:t>
          </a:r>
          <a:r>
            <a:rPr lang="en-US" sz="1200">
              <a:effectLst/>
              <a:latin typeface="Segoe UI" panose="020B0502040204020203" pitchFamily="34" charset="0"/>
              <a:cs typeface="Segoe UI" panose="020B0502040204020203" pitchFamily="34" charset="0"/>
            </a:rPr>
            <a:t> — The department or group responsible for handling the request.</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Status</a:t>
          </a:r>
          <a:r>
            <a:rPr lang="en-US" sz="1200">
              <a:effectLst/>
              <a:latin typeface="Segoe UI" panose="020B0502040204020203" pitchFamily="34" charset="0"/>
              <a:cs typeface="Segoe UI" panose="020B0502040204020203" pitchFamily="34" charset="0"/>
            </a:rPr>
            <a:t> — The canonicalized status category assigned through the mapping table.</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All fields in the dashboard are derived from the cleaned and window‑filtered dataset on Slice_311, ensuring consistency and transparency across all calculations.</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oneCellAnchor>
  <xdr:oneCellAnchor>
    <xdr:from>
      <xdr:col>0</xdr:col>
      <xdr:colOff>0</xdr:colOff>
      <xdr:row>38</xdr:row>
      <xdr:rowOff>91440</xdr:rowOff>
    </xdr:from>
    <xdr:ext cx="6858000" cy="2575560"/>
    <xdr:sp macro="" textlink="">
      <xdr:nvSpPr>
        <xdr:cNvPr id="7" name="txt_Semantic_Layer">
          <a:extLst>
            <a:ext uri="{FF2B5EF4-FFF2-40B4-BE49-F238E27FC236}">
              <a16:creationId xmlns:a16="http://schemas.microsoft.com/office/drawing/2014/main" id="{34E4FB77-C51D-4E38-9992-95791F608EEB}"/>
            </a:ext>
          </a:extLst>
        </xdr:cNvPr>
        <xdr:cNvSpPr txBox="1"/>
      </xdr:nvSpPr>
      <xdr:spPr>
        <a:xfrm>
          <a:off x="0" y="8930640"/>
          <a:ext cx="6858000" cy="257556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effectLst/>
              <a:latin typeface="Segoe UI" panose="020B0502040204020203" pitchFamily="34" charset="0"/>
              <a:cs typeface="Segoe UI" panose="020B0502040204020203" pitchFamily="34" charset="0"/>
            </a:rPr>
            <a:t>## Semantic Layer Overview</a:t>
          </a:r>
        </a:p>
        <a:p>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All calculations in this workbook are driven by a structured semantic naming layer defined on the Names_dictionary table in the LOOKUPS sheet. Each named range is designed to be descriptive, stable, and self‑documenting, allowing formulas to read more like clear analytical statements than cell references.</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The semantic layer provides: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Consistent naming</a:t>
          </a:r>
          <a:r>
            <a:rPr lang="en-US" sz="1200">
              <a:effectLst/>
              <a:latin typeface="Segoe UI" panose="020B0502040204020203" pitchFamily="34" charset="0"/>
              <a:cs typeface="Segoe UI" panose="020B0502040204020203" pitchFamily="34" charset="0"/>
            </a:rPr>
            <a:t> for all spill ranges and helper calculations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Readable formulas</a:t>
          </a:r>
          <a:r>
            <a:rPr lang="en-US" sz="1200">
              <a:effectLst/>
              <a:latin typeface="Segoe UI" panose="020B0502040204020203" pitchFamily="34" charset="0"/>
              <a:cs typeface="Segoe UI" panose="020B0502040204020203" pitchFamily="34" charset="0"/>
            </a:rPr>
            <a:t> that avoid hard‑coded coordinates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A maintainable architecture</a:t>
          </a:r>
          <a:r>
            <a:rPr lang="en-US" sz="1200">
              <a:effectLst/>
              <a:latin typeface="Segoe UI" panose="020B0502040204020203" pitchFamily="34" charset="0"/>
              <a:cs typeface="Segoe UI" panose="020B0502040204020203" pitchFamily="34" charset="0"/>
            </a:rPr>
            <a:t> that can be extended without breaking dependencies</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This approach ensures that the dashboard remains transparent, modular, and easy to audit or enhance.</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oneCellAnchor>
  <xdr:oneCellAnchor>
    <xdr:from>
      <xdr:col>0</xdr:col>
      <xdr:colOff>0</xdr:colOff>
      <xdr:row>50</xdr:row>
      <xdr:rowOff>0</xdr:rowOff>
    </xdr:from>
    <xdr:ext cx="6858000" cy="2369820"/>
    <xdr:sp macro="" textlink="">
      <xdr:nvSpPr>
        <xdr:cNvPr id="8" name="txt_Architecture_Summary">
          <a:extLst>
            <a:ext uri="{FF2B5EF4-FFF2-40B4-BE49-F238E27FC236}">
              <a16:creationId xmlns:a16="http://schemas.microsoft.com/office/drawing/2014/main" id="{0946A99C-E7AD-44A3-9C44-786EF390F6CC}"/>
            </a:ext>
          </a:extLst>
        </xdr:cNvPr>
        <xdr:cNvSpPr txBox="1"/>
      </xdr:nvSpPr>
      <xdr:spPr>
        <a:xfrm>
          <a:off x="0" y="11490960"/>
          <a:ext cx="6858000" cy="236982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effectLst/>
              <a:latin typeface="Segoe UI" panose="020B0502040204020203" pitchFamily="34" charset="0"/>
              <a:cs typeface="Segoe UI" panose="020B0502040204020203" pitchFamily="34" charset="0"/>
            </a:rPr>
            <a:t>## Architecture Summary</a:t>
          </a:r>
        </a:p>
        <a:p>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This workbook is organized into a small number of clean, purpose‑built sheets: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README</a:t>
          </a:r>
          <a:r>
            <a:rPr lang="en-US" sz="1200">
              <a:effectLst/>
              <a:latin typeface="Segoe UI" panose="020B0502040204020203" pitchFamily="34" charset="0"/>
              <a:cs typeface="Segoe UI" panose="020B0502040204020203" pitchFamily="34" charset="0"/>
            </a:rPr>
            <a:t> — A landing page describing the project, its purpose, and how to use the dashboard.</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Documentation</a:t>
          </a:r>
          <a:r>
            <a:rPr lang="en-US" sz="1200">
              <a:effectLst/>
              <a:latin typeface="Segoe UI" panose="020B0502040204020203" pitchFamily="34" charset="0"/>
              <a:cs typeface="Segoe UI" panose="020B0502040204020203" pitchFamily="34" charset="0"/>
            </a:rPr>
            <a:t> — A detailed data dictionary and notes on the cleaning and transformation logic.</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Slice_311</a:t>
          </a:r>
          <a:r>
            <a:rPr lang="en-US" sz="1200">
              <a:effectLst/>
              <a:latin typeface="Segoe UI" panose="020B0502040204020203" pitchFamily="34" charset="0"/>
              <a:cs typeface="Segoe UI" panose="020B0502040204020203" pitchFamily="34" charset="0"/>
            </a:rPr>
            <a:t> — The cleaned, window‑filtered dataset used by all KPIs and charts.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Visuals</a:t>
          </a:r>
          <a:r>
            <a:rPr lang="en-US" sz="1200">
              <a:effectLst/>
              <a:latin typeface="Segoe UI" panose="020B0502040204020203" pitchFamily="34" charset="0"/>
              <a:cs typeface="Segoe UI" panose="020B0502040204020203" pitchFamily="34" charset="0"/>
            </a:rPr>
            <a:t> — The interactive dashboard, including KPIs, charts, and user controls.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LOOKUPS</a:t>
          </a:r>
          <a:r>
            <a:rPr lang="en-US" sz="1200">
              <a:effectLst/>
              <a:latin typeface="Segoe UI" panose="020B0502040204020203" pitchFamily="34" charset="0"/>
              <a:cs typeface="Segoe UI" panose="020B0502040204020203" pitchFamily="34" charset="0"/>
            </a:rPr>
            <a:t> — Contains the canonical status mapping table and the semantic naming dictionary.</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Helper Zone (hidden, within Visuals)</a:t>
          </a:r>
          <a:r>
            <a:rPr lang="en-US" sz="1200">
              <a:effectLst/>
              <a:latin typeface="Segoe UI" panose="020B0502040204020203" pitchFamily="34" charset="0"/>
              <a:cs typeface="Segoe UI" panose="020B0502040204020203" pitchFamily="34" charset="0"/>
            </a:rPr>
            <a:t> — A structured block of spill ranges and intermediate calculations that power the dashboard. It is named (</a:t>
          </a:r>
          <a:r>
            <a:rPr lang="en-US" sz="1100">
              <a:solidFill>
                <a:schemeClr val="tx1"/>
              </a:solidFill>
              <a:effectLst/>
              <a:latin typeface="Segoe UI" panose="020B0502040204020203" pitchFamily="34" charset="0"/>
              <a:ea typeface="+mn-ea"/>
              <a:cs typeface="Segoe UI" panose="020B0502040204020203" pitchFamily="34" charset="0"/>
            </a:rPr>
            <a:t>helper_zone</a:t>
          </a:r>
          <a:r>
            <a:rPr lang="en-US" sz="1200">
              <a:effectLst/>
              <a:latin typeface="Segoe UI" panose="020B0502040204020203" pitchFamily="34" charset="0"/>
              <a:cs typeface="Segoe UI" panose="020B0502040204020203" pitchFamily="34" charset="0"/>
            </a:rPr>
            <a:t>) so reviewers can locate it instantly via the Name Box, even though it remains hidden in the portfolio version.</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All formulas reference semantic names rather than cell coordinates, ensuring the workbook remains transparent, maintainable, and easy to extend.</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oneCellAnchor>
  <xdr:oneCellAnchor>
    <xdr:from>
      <xdr:col>0</xdr:col>
      <xdr:colOff>0</xdr:colOff>
      <xdr:row>60</xdr:row>
      <xdr:rowOff>167640</xdr:rowOff>
    </xdr:from>
    <xdr:ext cx="6858000" cy="2964180"/>
    <xdr:sp macro="" textlink="">
      <xdr:nvSpPr>
        <xdr:cNvPr id="9" name="txt_Notes_on_Slice">
          <a:extLst>
            <a:ext uri="{FF2B5EF4-FFF2-40B4-BE49-F238E27FC236}">
              <a16:creationId xmlns:a16="http://schemas.microsoft.com/office/drawing/2014/main" id="{E841679A-1508-47E1-87BF-F0808A3DDDE4}"/>
            </a:ext>
          </a:extLst>
        </xdr:cNvPr>
        <xdr:cNvSpPr txBox="1"/>
      </xdr:nvSpPr>
      <xdr:spPr>
        <a:xfrm>
          <a:off x="0" y="13868400"/>
          <a:ext cx="6858000" cy="296418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effectLst/>
              <a:latin typeface="Segoe UI" panose="020B0502040204020203" pitchFamily="34" charset="0"/>
              <a:cs typeface="Segoe UI" panose="020B0502040204020203" pitchFamily="34" charset="0"/>
            </a:rPr>
            <a:t>## Notes on the Slice</a:t>
          </a:r>
        </a:p>
        <a:p>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The Slice_311 sheet contains a window‑filtered subset of the full dataset. This slice is designed to support fast, responsive dashboard interactions while keeping the underlying logic transparent. Two notes apply:</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Window Size (3–30 Days)</a:t>
          </a:r>
          <a:r>
            <a:rPr lang="en-US" sz="1200">
              <a:effectLst/>
              <a:latin typeface="Segoe UI" panose="020B0502040204020203" pitchFamily="34" charset="0"/>
              <a:cs typeface="Segoe UI" panose="020B0502040204020203" pitchFamily="34" charset="0"/>
            </a:rPr>
            <a:t> The rolling window is user‑selectable from 3 to 30 days. Because the 2024 dataset contains a complete, continuous sequence of dates with no gaps, the window always represents an exact number of calendar days. The window is applied directly to the cleaned dataset to produce a smooth, responsive set of KPIs and trend lines.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Scroll Bar Range</a:t>
          </a:r>
          <a:r>
            <a:rPr lang="en-US" sz="1200">
              <a:effectLst/>
              <a:latin typeface="Segoe UI" panose="020B0502040204020203" pitchFamily="34" charset="0"/>
              <a:cs typeface="Segoe UI" panose="020B0502040204020203" pitchFamily="34" charset="0"/>
            </a:rPr>
            <a:t> The scroll bar is calibrated to the length of the cleaned slice. If the dataset grows or shrinks, the scroll bar’s maximum value reflects the current slice length rather than the full raw dataset.</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These behaviors are intentional and documented to ensure the dashboard remains predictable, performant, and easy to interpret.</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oneCellAnchor>
  <xdr:oneCellAnchor>
    <xdr:from>
      <xdr:col>0</xdr:col>
      <xdr:colOff>0</xdr:colOff>
      <xdr:row>74</xdr:row>
      <xdr:rowOff>38100</xdr:rowOff>
    </xdr:from>
    <xdr:ext cx="6858000" cy="2606040"/>
    <xdr:sp macro="" textlink="">
      <xdr:nvSpPr>
        <xdr:cNvPr id="10" name="txt_Version_Notes">
          <a:extLst>
            <a:ext uri="{FF2B5EF4-FFF2-40B4-BE49-F238E27FC236}">
              <a16:creationId xmlns:a16="http://schemas.microsoft.com/office/drawing/2014/main" id="{DA646F39-D9CA-4C64-9D4A-66D078AD0E5D}"/>
            </a:ext>
          </a:extLst>
        </xdr:cNvPr>
        <xdr:cNvSpPr txBox="1"/>
      </xdr:nvSpPr>
      <xdr:spPr>
        <a:xfrm>
          <a:off x="0" y="16832580"/>
          <a:ext cx="6858000" cy="260604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effectLst/>
              <a:latin typeface="Segoe UI" panose="020B0502040204020203" pitchFamily="34" charset="0"/>
              <a:cs typeface="Segoe UI" panose="020B0502040204020203" pitchFamily="34" charset="0"/>
            </a:rPr>
            <a:t>## Version Notes</a:t>
          </a:r>
        </a:p>
        <a:p>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This is the initial portfolio release of the Denver 311 dashboard. The focus of this version is clarity, transparency, and architectural stability. All calculations, mappings, and semantic names have been validated against the full 2024 dataset.</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Future enhancements may include:</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Additional KPIs derived from duration distributions</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Agency‑level trend comparisons</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Expanded documentation on the mapping logic</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Optional drill‑downs for specific agencies or time periods</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The current version is intentionally lean and optimized for readability, auditability, and demonstration of clean modeling practices.</a:t>
          </a:r>
          <a:endParaRPr lang="en-US" sz="1200">
            <a:latin typeface="Segoe UI" panose="020B0502040204020203" pitchFamily="34" charset="0"/>
            <a:cs typeface="Segoe UI" panose="020B0502040204020203" pitchFamily="34" charset="0"/>
          </a:endParaRPr>
        </a:p>
      </xdr:txBody>
    </xdr:sp>
    <xdr:clientData/>
  </xdr:oneCellAnchor>
  <xdr:oneCellAnchor>
    <xdr:from>
      <xdr:col>0</xdr:col>
      <xdr:colOff>0</xdr:colOff>
      <xdr:row>86</xdr:row>
      <xdr:rowOff>0</xdr:rowOff>
    </xdr:from>
    <xdr:ext cx="6858000" cy="8252460"/>
    <xdr:sp macro="" textlink="">
      <xdr:nvSpPr>
        <xdr:cNvPr id="11" name="txt_Data_Cleaning">
          <a:extLst>
            <a:ext uri="{FF2B5EF4-FFF2-40B4-BE49-F238E27FC236}">
              <a16:creationId xmlns:a16="http://schemas.microsoft.com/office/drawing/2014/main" id="{08226E2B-BD90-42E8-8C35-C5492C26298C}"/>
            </a:ext>
          </a:extLst>
        </xdr:cNvPr>
        <xdr:cNvSpPr txBox="1"/>
      </xdr:nvSpPr>
      <xdr:spPr>
        <a:xfrm>
          <a:off x="0" y="19446240"/>
          <a:ext cx="6858000" cy="825246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effectLst/>
              <a:latin typeface="Segoe UI" panose="020B0502040204020203" pitchFamily="34" charset="0"/>
              <a:cs typeface="Segoe UI" panose="020B0502040204020203" pitchFamily="34" charset="0"/>
            </a:rPr>
            <a:t>## Data Cleaning &amp; Transformation Workflow</a:t>
          </a:r>
          <a:endParaRPr lang="en-US" sz="1200">
            <a:latin typeface="Segoe UI" panose="020B0502040204020203" pitchFamily="34" charset="0"/>
            <a:cs typeface="Segoe UI" panose="020B0502040204020203" pitchFamily="34" charset="0"/>
          </a:endParaRPr>
        </a:p>
        <a:p>
          <a:endParaRPr lang="en-US" sz="1200">
            <a:effectLst/>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The raw Denver 311 dataset required a structured, transparent cleaning workflow to ensure accuracy, consistency, and analytical reliability. All transformations were performed using modern Excel techniques, including dynamic arrays, spill logic, and a semantic naming layer defined in the Names_dictionary table on the LOOKUPS sheet. The key steps in the cleaning pipeline are summarized below.</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Import and Initial Standardization</a:t>
          </a:r>
          <a:r>
            <a:rPr lang="en-US" sz="1200">
              <a:effectLst/>
              <a:latin typeface="Segoe UI" panose="020B0502040204020203" pitchFamily="34" charset="0"/>
              <a:cs typeface="Segoe UI" panose="020B0502040204020203" pitchFamily="34" charset="0"/>
            </a:rPr>
            <a:t> The raw dataset was imported into Excel and normalized to ensure consistent field types and formats. This included: • Converting all date fields to true Excel date serials • Standardizing text fields (trimming whitespace, normalizing case) • Removing non‑printable characters and formatting artifacts • Ensuring all numeric fields were properly typed These steps established a clean baseline for downstream transformations.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Canonical Status Mapping</a:t>
          </a:r>
          <a:r>
            <a:rPr lang="en-US" sz="1200">
              <a:effectLst/>
              <a:latin typeface="Segoe UI" panose="020B0502040204020203" pitchFamily="34" charset="0"/>
              <a:cs typeface="Segoe UI" panose="020B0502040204020203" pitchFamily="34" charset="0"/>
            </a:rPr>
            <a:t> The raw dataset contained dozens of granular status values, many of which were redundant, inconsistent, or long‑tail categories. To address this, a canonical status mapping table was created on the LOOKUPS sheet. This mapping: • Consolidates raw statuses into a small, interpretable set of categories • Eliminates noise from inconsistent or rarely used values • Ensures all downstream KPIs and charts operate on stable, meaningful labels Every record in the cleaned dataset is assigned a canonical status through this mapping table.</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Duration Calculation</a:t>
          </a:r>
          <a:r>
            <a:rPr lang="en-US" sz="1200">
              <a:effectLst/>
              <a:latin typeface="Segoe UI" panose="020B0502040204020203" pitchFamily="34" charset="0"/>
              <a:cs typeface="Segoe UI" panose="020B0502040204020203" pitchFamily="34" charset="0"/>
            </a:rPr>
            <a:t> A standardized Duration field was created to measure the number of days between request creation and closure. The calculation: • Uses true date serials to avoid text‑based inconsistencies • Handles edge cases such as missing or invalid closure dates • Produces a clean, numeric duration suitable for aggregation and trend analysis This field is used extensively in the dashboard’s KPIs and rolling metrics.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Removal of Invalid or Corrupted Records</a:t>
          </a:r>
          <a:r>
            <a:rPr lang="en-US" sz="1200">
              <a:effectLst/>
              <a:latin typeface="Segoe UI" panose="020B0502040204020203" pitchFamily="34" charset="0"/>
              <a:cs typeface="Segoe UI" panose="020B0502040204020203" pitchFamily="34" charset="0"/>
            </a:rPr>
            <a:t> The dataset was scanned for structural anomalies, including: • Missing creation dates • Negative or impossible durations • Records with no valid agency assignment • Status values not present in the mapping table Invalid rows were removed to ensure the cleaned dataset reflects only analytically sound records.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Construction of the Cleaned Dataset (Clean_311)</a:t>
          </a:r>
          <a:r>
            <a:rPr lang="en-US" sz="1200">
              <a:effectLst/>
              <a:latin typeface="Segoe UI" panose="020B0502040204020203" pitchFamily="34" charset="0"/>
              <a:cs typeface="Segoe UI" panose="020B0502040204020203" pitchFamily="34" charset="0"/>
            </a:rPr>
            <a:t> After applying all transformations, the cleaned dataset was assembled on the Clean_311 sheet. This sheet contains: • Standardized dates • Canonical statuses • Validated durations • Clean agency labels • All fields required for dashboard calculations Clean_311 is the authoritative, fully cleaned dataset used throughout the workbook.</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Creation of the Slice (Slice_311)</a:t>
          </a:r>
          <a:r>
            <a:rPr lang="en-US" sz="1200">
              <a:effectLst/>
              <a:latin typeface="Segoe UI" panose="020B0502040204020203" pitchFamily="34" charset="0"/>
              <a:cs typeface="Segoe UI" panose="020B0502040204020203" pitchFamily="34" charset="0"/>
            </a:rPr>
            <a:t> To support fast, responsive dashboard interactions, a curated slice of the cleaned dataset is maintained on Slice_311. This slice: • Contains the most recent 500 records from Clean_311 • Provides a compact, high‑signal subset for visualization • Ensures the dashboard remains performant and responsive All KPIs and charts operate on this slice rather than the full dataset.</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Semantic Naming Integration</a:t>
          </a:r>
          <a:r>
            <a:rPr lang="en-US" sz="1200">
              <a:effectLst/>
              <a:latin typeface="Segoe UI" panose="020B0502040204020203" pitchFamily="34" charset="0"/>
              <a:cs typeface="Segoe UI" panose="020B0502040204020203" pitchFamily="34" charset="0"/>
            </a:rPr>
            <a:t> All cleaned fields, spill ranges, and helper arrays are assigned descriptive semantic names in the Names_dictionary table on the LOOKUPS sheet. This ensures: • Readable formulas • A maintainable architecture • Easy auditing and extension The semantic layer is the backbone of the workbook’s transparency and modularity.</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oneCellAnchor>
  <xdr:oneCellAnchor>
    <xdr:from>
      <xdr:col>0</xdr:col>
      <xdr:colOff>0</xdr:colOff>
      <xdr:row>123</xdr:row>
      <xdr:rowOff>167640</xdr:rowOff>
    </xdr:from>
    <xdr:ext cx="6858000" cy="8039100"/>
    <xdr:sp macro="" textlink="">
      <xdr:nvSpPr>
        <xdr:cNvPr id="12" name="txt_Status_Mappin">
          <a:extLst>
            <a:ext uri="{FF2B5EF4-FFF2-40B4-BE49-F238E27FC236}">
              <a16:creationId xmlns:a16="http://schemas.microsoft.com/office/drawing/2014/main" id="{BBB02CA1-EF0F-4D0D-81E4-F237B6A40403}"/>
            </a:ext>
          </a:extLst>
        </xdr:cNvPr>
        <xdr:cNvSpPr txBox="1"/>
      </xdr:nvSpPr>
      <xdr:spPr>
        <a:xfrm>
          <a:off x="0" y="27698700"/>
          <a:ext cx="6858000" cy="803910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effectLst/>
              <a:latin typeface="Segoe UI" panose="020B0502040204020203" pitchFamily="34" charset="0"/>
              <a:cs typeface="Segoe UI" panose="020B0502040204020203" pitchFamily="34" charset="0"/>
            </a:rPr>
            <a:t>## Status Mapping Table Documentation</a:t>
          </a:r>
          <a:endParaRPr lang="en-US" sz="1400">
            <a:latin typeface="Segoe UI" panose="020B0502040204020203" pitchFamily="34" charset="0"/>
            <a:cs typeface="Segoe UI" panose="020B0502040204020203" pitchFamily="34" charset="0"/>
          </a:endParaRPr>
        </a:p>
        <a:p>
          <a:endParaRPr lang="en-US" sz="1200">
            <a:effectLst/>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The raw Denver 311 dataset contains a wide variety of status values, many of which are inconsistent, redundant, or too granular for meaningful analysis. To create a stable analytical foundation, this workbook uses a canonical status mapping table located on the LOOKUPS sheet. This table consolidates raw status values into a small, interpretable set of categories that drive all KPIs, charts, and filters throughout the dashboard.</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Purpose of the Mapping Table</a:t>
          </a:r>
          <a:r>
            <a:rPr lang="en-US" sz="1200">
              <a:effectLst/>
              <a:latin typeface="Segoe UI" panose="020B0502040204020203" pitchFamily="34" charset="0"/>
              <a:cs typeface="Segoe UI" panose="020B0502040204020203" pitchFamily="34" charset="0"/>
            </a:rPr>
            <a:t> The mapping table serves three primary goals: • </a:t>
          </a:r>
          <a:r>
            <a:rPr lang="en-US" sz="1200" b="1">
              <a:effectLst/>
              <a:latin typeface="Segoe UI" panose="020B0502040204020203" pitchFamily="34" charset="0"/>
              <a:cs typeface="Segoe UI" panose="020B0502040204020203" pitchFamily="34" charset="0"/>
            </a:rPr>
            <a:t>Normalize inconsistent raw values</a:t>
          </a:r>
          <a:r>
            <a:rPr lang="en-US" sz="1200">
              <a:effectLst/>
              <a:latin typeface="Segoe UI" panose="020B0502040204020203" pitchFamily="34" charset="0"/>
              <a:cs typeface="Segoe UI" panose="020B0502040204020203" pitchFamily="34" charset="0"/>
            </a:rPr>
            <a:t> Raw statuses often differ only by punctuation, spacing, or minor wording differences. The mapping table standardizes these into a single canonical label. • </a:t>
          </a:r>
          <a:r>
            <a:rPr lang="en-US" sz="1200" b="1">
              <a:effectLst/>
              <a:latin typeface="Segoe UI" panose="020B0502040204020203" pitchFamily="34" charset="0"/>
              <a:cs typeface="Segoe UI" panose="020B0502040204020203" pitchFamily="34" charset="0"/>
            </a:rPr>
            <a:t>Reduce long‑tail categories</a:t>
          </a:r>
          <a:r>
            <a:rPr lang="en-US" sz="1200">
              <a:effectLst/>
              <a:latin typeface="Segoe UI" panose="020B0502040204020203" pitchFamily="34" charset="0"/>
              <a:cs typeface="Segoe UI" panose="020B0502040204020203" pitchFamily="34" charset="0"/>
            </a:rPr>
            <a:t> Many raw statuses appear only a handful of times. Consolidating them prevents noise from dominating the analysis. • </a:t>
          </a:r>
          <a:r>
            <a:rPr lang="en-US" sz="1200" b="1">
              <a:effectLst/>
              <a:latin typeface="Segoe UI" panose="020B0502040204020203" pitchFamily="34" charset="0"/>
              <a:cs typeface="Segoe UI" panose="020B0502040204020203" pitchFamily="34" charset="0"/>
            </a:rPr>
            <a:t>Create a stable analytical vocabulary</a:t>
          </a:r>
          <a:r>
            <a:rPr lang="en-US" sz="1200">
              <a:effectLst/>
              <a:latin typeface="Segoe UI" panose="020B0502040204020203" pitchFamily="34" charset="0"/>
              <a:cs typeface="Segoe UI" panose="020B0502040204020203" pitchFamily="34" charset="0"/>
            </a:rPr>
            <a:t> Canonical statuses provide a consistent set of categories that remain meaningful across agencies, time periods, and dashboard interactions. This ensures that all downstream calculations operate on clean, interpretable labels rather than raw operational codes.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Structure of the Mapping Table</a:t>
          </a:r>
          <a:r>
            <a:rPr lang="en-US" sz="1200">
              <a:effectLst/>
              <a:latin typeface="Segoe UI" panose="020B0502040204020203" pitchFamily="34" charset="0"/>
              <a:cs typeface="Segoe UI" panose="020B0502040204020203" pitchFamily="34" charset="0"/>
            </a:rPr>
            <a:t> The mapping table is organized as a simple two‑column structure: • </a:t>
          </a:r>
          <a:r>
            <a:rPr lang="en-US" sz="1200" b="1">
              <a:effectLst/>
              <a:latin typeface="Segoe UI" panose="020B0502040204020203" pitchFamily="34" charset="0"/>
              <a:cs typeface="Segoe UI" panose="020B0502040204020203" pitchFamily="34" charset="0"/>
            </a:rPr>
            <a:t>Raw Status</a:t>
          </a:r>
          <a:r>
            <a:rPr lang="en-US" sz="1200">
              <a:effectLst/>
              <a:latin typeface="Segoe UI" panose="020B0502040204020203" pitchFamily="34" charset="0"/>
              <a:cs typeface="Segoe UI" panose="020B0502040204020203" pitchFamily="34" charset="0"/>
            </a:rPr>
            <a:t> — The exact value as it appears in the original dataset • </a:t>
          </a:r>
          <a:r>
            <a:rPr lang="en-US" sz="1200" b="1">
              <a:effectLst/>
              <a:latin typeface="Segoe UI" panose="020B0502040204020203" pitchFamily="34" charset="0"/>
              <a:cs typeface="Segoe UI" panose="020B0502040204020203" pitchFamily="34" charset="0"/>
            </a:rPr>
            <a:t>Canonical Status</a:t>
          </a:r>
          <a:r>
            <a:rPr lang="en-US" sz="1200">
              <a:effectLst/>
              <a:latin typeface="Segoe UI" panose="020B0502040204020203" pitchFamily="34" charset="0"/>
              <a:cs typeface="Segoe UI" panose="020B0502040204020203" pitchFamily="34" charset="0"/>
            </a:rPr>
            <a:t> — The standardized category assigned to that raw value This structure keeps the mapping transparent and easy to audit.</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Consolidation Logic</a:t>
          </a:r>
          <a:r>
            <a:rPr lang="en-US" sz="1200">
              <a:effectLst/>
              <a:latin typeface="Segoe UI" panose="020B0502040204020203" pitchFamily="34" charset="0"/>
              <a:cs typeface="Segoe UI" panose="020B0502040204020203" pitchFamily="34" charset="0"/>
            </a:rPr>
            <a:t> Statuses were grouped based on operational meaning rather than literal text. Examples include: • Variants of “Closed,” “Completed,” or “Resolved” → </a:t>
          </a:r>
          <a:r>
            <a:rPr lang="en-US" sz="1200" b="1">
              <a:effectLst/>
              <a:latin typeface="Segoe UI" panose="020B0502040204020203" pitchFamily="34" charset="0"/>
              <a:cs typeface="Segoe UI" panose="020B0502040204020203" pitchFamily="34" charset="0"/>
            </a:rPr>
            <a:t>Closed</a:t>
          </a:r>
          <a:r>
            <a:rPr lang="en-US" sz="1200">
              <a:effectLst/>
              <a:latin typeface="Segoe UI" panose="020B0502040204020203" pitchFamily="34" charset="0"/>
              <a:cs typeface="Segoe UI" panose="020B0502040204020203" pitchFamily="34" charset="0"/>
            </a:rPr>
            <a:t> • Variants of “Open,” “In Progress,” or “Assigned” → </a:t>
          </a:r>
          <a:r>
            <a:rPr lang="en-US" sz="1200" b="1">
              <a:effectLst/>
              <a:latin typeface="Segoe UI" panose="020B0502040204020203" pitchFamily="34" charset="0"/>
              <a:cs typeface="Segoe UI" panose="020B0502040204020203" pitchFamily="34" charset="0"/>
            </a:rPr>
            <a:t>Open</a:t>
          </a:r>
          <a:r>
            <a:rPr lang="en-US" sz="1200">
              <a:effectLst/>
              <a:latin typeface="Segoe UI" panose="020B0502040204020203" pitchFamily="34" charset="0"/>
              <a:cs typeface="Segoe UI" panose="020B0502040204020203" pitchFamily="34" charset="0"/>
            </a:rPr>
            <a:t> • Rare or ambiguous values → assigned to the closest meaningful category This approach preserves analytical intent while eliminating unnecessary fragmentation.</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Handling Long‑Tail and Anomalous Values</a:t>
          </a:r>
          <a:r>
            <a:rPr lang="en-US" sz="1200">
              <a:effectLst/>
              <a:latin typeface="Segoe UI" panose="020B0502040204020203" pitchFamily="34" charset="0"/>
              <a:cs typeface="Segoe UI" panose="020B0502040204020203" pitchFamily="34" charset="0"/>
            </a:rPr>
            <a:t> During cleaning, several raw statuses appeared only once or twice in the dataset. These were reviewed individually and assigned to the most appropriate canonical category. If a raw status could not be meaningfully interpreted, the record was flagged for removal during the cleaning phase. This ensures that the cleaned dataset contains only analytically valid records.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Integration with the Semantic Layer</a:t>
          </a:r>
          <a:r>
            <a:rPr lang="en-US" sz="1200">
              <a:effectLst/>
              <a:latin typeface="Segoe UI" panose="020B0502040204020203" pitchFamily="34" charset="0"/>
              <a:cs typeface="Segoe UI" panose="020B0502040204020203" pitchFamily="34" charset="0"/>
            </a:rPr>
            <a:t> The mapping table is tightly integrated with the semantic naming system: • The Names_dictionary table defines semantic names for all mapping‑related spill ranges • Formulas reference these semantic names rather than cell coordinates • The mapping logic becomes readable, maintainable, and easy to extend This design ensures that any future additions or refinements to the mapping table automatically propagate through the entire workbook.</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Validation Against the Cleaned Dataset</a:t>
          </a:r>
          <a:r>
            <a:rPr lang="en-US" sz="1200">
              <a:effectLst/>
              <a:latin typeface="Segoe UI" panose="020B0502040204020203" pitchFamily="34" charset="0"/>
              <a:cs typeface="Segoe UI" panose="020B0502040204020203" pitchFamily="34" charset="0"/>
            </a:rPr>
            <a:t> After the mapping table was finalized, the entire Clean_311 dataset was validated to ensure: • Every raw status had a corresponding canonical category • No unmapped or misspelled statuses remained • All canonical categories were used consistently across agencies This validation step guarantees that the dashboard operates on a complete and coherent status system.</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oneCellAnchor>
  <xdr:oneCellAnchor>
    <xdr:from>
      <xdr:col>0</xdr:col>
      <xdr:colOff>0</xdr:colOff>
      <xdr:row>164</xdr:row>
      <xdr:rowOff>83820</xdr:rowOff>
    </xdr:from>
    <xdr:ext cx="6858000" cy="6431280"/>
    <xdr:sp macro="" textlink="">
      <xdr:nvSpPr>
        <xdr:cNvPr id="13" name="txt_QA_Summary">
          <a:extLst>
            <a:ext uri="{FF2B5EF4-FFF2-40B4-BE49-F238E27FC236}">
              <a16:creationId xmlns:a16="http://schemas.microsoft.com/office/drawing/2014/main" id="{01774973-734C-46D1-84B3-9970E6B94119}"/>
            </a:ext>
          </a:extLst>
        </xdr:cNvPr>
        <xdr:cNvSpPr txBox="1"/>
      </xdr:nvSpPr>
      <xdr:spPr>
        <a:xfrm>
          <a:off x="0" y="35737800"/>
          <a:ext cx="6858000" cy="6431280"/>
        </a:xfrm>
        <a:prstGeom prst="rect">
          <a:avLst/>
        </a:prstGeom>
        <a:solidFill>
          <a:schemeClr val="lt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effectLst/>
              <a:latin typeface="Segoe UI" panose="020B0502040204020203" pitchFamily="34" charset="0"/>
              <a:cs typeface="Segoe UI" panose="020B0502040204020203" pitchFamily="34" charset="0"/>
            </a:rPr>
            <a:t>## Quality Assurance Summary</a:t>
          </a:r>
          <a:endParaRPr lang="en-US" sz="1400">
            <a:latin typeface="Segoe UI" panose="020B0502040204020203" pitchFamily="34" charset="0"/>
            <a:cs typeface="Segoe UI" panose="020B0502040204020203" pitchFamily="34" charset="0"/>
          </a:endParaRPr>
        </a:p>
        <a:p>
          <a:endParaRPr lang="en-US" sz="1200">
            <a:effectLst/>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A structured quality assurance (QA) process was applied to ensure the cleaned dataset and dashboard outputs were accurate, consistent, and analytically reliable. The QA workflow combined automated checks, pivot‑based validation, and manual review of edge cases. The key components are outlined below.</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Structural Integrity Checks</a:t>
          </a:r>
          <a:r>
            <a:rPr lang="en-US" sz="1200">
              <a:effectLst/>
              <a:latin typeface="Segoe UI" panose="020B0502040204020203" pitchFamily="34" charset="0"/>
              <a:cs typeface="Segoe UI" panose="020B0502040204020203" pitchFamily="34" charset="0"/>
            </a:rPr>
            <a:t> The cleaned dataset on Clean_311 was validated to confirm: • All date fields were valid Excel dates • No negative or impossible durations remained • All records contained a valid agency • Every raw status successfully mapped to a canonical status Any record failing these checks was removed prior to slicing.</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Mapping Table Coverage Validation</a:t>
          </a:r>
          <a:r>
            <a:rPr lang="en-US" sz="1200">
              <a:effectLst/>
              <a:latin typeface="Segoe UI" panose="020B0502040204020203" pitchFamily="34" charset="0"/>
              <a:cs typeface="Segoe UI" panose="020B0502040204020203" pitchFamily="34" charset="0"/>
            </a:rPr>
            <a:t> The canonical status mapping table was tested against the full cleaned dataset to ensure: • Every raw status value appeared in the mapping table • No unmapped or misspelled statuses remained • Canonical categories were applied consistently across agencies This ensured the status system was complete and stable.</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Pivot‑Based Consistency Review</a:t>
          </a:r>
          <a:r>
            <a:rPr lang="en-US" sz="1200">
              <a:effectLst/>
              <a:latin typeface="Segoe UI" panose="020B0502040204020203" pitchFamily="34" charset="0"/>
              <a:cs typeface="Segoe UI" panose="020B0502040204020203" pitchFamily="34" charset="0"/>
            </a:rPr>
            <a:t> Pivot tables were used to validate: • Request counts by agency • Request counts by canonical status • Duration distributions • Daily request volume patterns These pivots confirmed that the cleaned dataset behaved as expected and that no structural anomalies remained.</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Date Continuity Verification</a:t>
          </a:r>
          <a:r>
            <a:rPr lang="en-US" sz="1200">
              <a:effectLst/>
              <a:latin typeface="Segoe UI" panose="020B0502040204020203" pitchFamily="34" charset="0"/>
              <a:cs typeface="Segoe UI" panose="020B0502040204020203" pitchFamily="34" charset="0"/>
            </a:rPr>
            <a:t> The 2024 dataset contains a complete, gap‑free sequence of dates. This was verified to ensure: • Rolling windows (3–30 days) always represent true calendar spans • Time‑series KPIs and charts remain stable and interpretable • The scroll bar aligns with the actual length of the cleaned slice This continuity is essential for accurate rolling metrics.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Slice Validation (Slice_311)</a:t>
          </a:r>
          <a:r>
            <a:rPr lang="en-US" sz="1200">
              <a:effectLst/>
              <a:latin typeface="Segoe UI" panose="020B0502040204020203" pitchFamily="34" charset="0"/>
              <a:cs typeface="Segoe UI" panose="020B0502040204020203" pitchFamily="34" charset="0"/>
            </a:rPr>
            <a:t> The most recent 500 records were extracted from Clean_311 to form the Slice_311 dataset. QA checks confirmed: • The slice contained exactly 500 rows • All fields matched the structure of Clean_311 • No partial or corrupted records were included • The slice reflected the most recent operational behavior This ensures the dashboard remains responsive while still representing current trends.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Semantic Layer Verification</a:t>
          </a:r>
          <a:r>
            <a:rPr lang="en-US" sz="1200">
              <a:effectLst/>
              <a:latin typeface="Segoe UI" panose="020B0502040204020203" pitchFamily="34" charset="0"/>
              <a:cs typeface="Segoe UI" panose="020B0502040204020203" pitchFamily="34" charset="0"/>
            </a:rPr>
            <a:t> All semantic names defined in the Names_dictionary table were tested to confirm: • Correct spill ranges • No broken references • No circular dependencies • Readable, stable formula behavior This guarantees that the dashboard’s calculations remain transparent and maintainable.</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oneCellAnchor>
  <xdr:twoCellAnchor>
    <xdr:from>
      <xdr:col>0</xdr:col>
      <xdr:colOff>0</xdr:colOff>
      <xdr:row>272</xdr:row>
      <xdr:rowOff>160020</xdr:rowOff>
    </xdr:from>
    <xdr:to>
      <xdr:col>10</xdr:col>
      <xdr:colOff>152400</xdr:colOff>
      <xdr:row>309</xdr:row>
      <xdr:rowOff>60960</xdr:rowOff>
    </xdr:to>
    <xdr:sp macro="" textlink="">
      <xdr:nvSpPr>
        <xdr:cNvPr id="16" name="TextBox 15">
          <a:extLst>
            <a:ext uri="{FF2B5EF4-FFF2-40B4-BE49-F238E27FC236}">
              <a16:creationId xmlns:a16="http://schemas.microsoft.com/office/drawing/2014/main" id="{4B3FEC08-C3F1-10DD-7A4F-1E7AD142DBC5}"/>
            </a:ext>
          </a:extLst>
        </xdr:cNvPr>
        <xdr:cNvSpPr txBox="1"/>
      </xdr:nvSpPr>
      <xdr:spPr>
        <a:xfrm>
          <a:off x="0" y="57210960"/>
          <a:ext cx="6858000" cy="7231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panose="020B0502040204020203" pitchFamily="34" charset="0"/>
              <a:cs typeface="Segoe UI" panose="020B0502040204020203" pitchFamily="34" charset="0"/>
            </a:rPr>
            <a:t>Visuals &amp; Insights</a:t>
          </a:r>
        </a:p>
        <a:p>
          <a:r>
            <a:rPr lang="en-US" sz="1200">
              <a:effectLst/>
              <a:latin typeface="Segoe UI" panose="020B0502040204020203" pitchFamily="34" charset="0"/>
              <a:cs typeface="Segoe UI" panose="020B0502040204020203" pitchFamily="34" charset="0"/>
            </a:rPr>
            <a:t>The Visuals sheet provides four dynamic, semantically‑driven charts that update automatically based on the selected agency and the current Slice_311 window. These visuals highlight operational patterns in Denver’s 311 service requests and demonstrate how the semantic layer drives consistent, interpretable insights.</a:t>
          </a:r>
          <a:endParaRPr lang="en-US" sz="1200">
            <a:latin typeface="Segoe UI" panose="020B0502040204020203" pitchFamily="34" charset="0"/>
            <a:cs typeface="Segoe UI" panose="020B0502040204020203" pitchFamily="34" charset="0"/>
          </a:endParaRPr>
        </a:p>
        <a:p>
          <a:r>
            <a:rPr lang="en-US" sz="1200" b="1">
              <a:latin typeface="Segoe UI" panose="020B0502040204020203" pitchFamily="34" charset="0"/>
              <a:cs typeface="Segoe UI" panose="020B0502040204020203" pitchFamily="34" charset="0"/>
            </a:rPr>
            <a:t>1. Duration Distribution (Histogram — Selected Agency)</a:t>
          </a:r>
        </a:p>
        <a:p>
          <a:r>
            <a:rPr lang="en-US" sz="1200">
              <a:effectLst/>
              <a:latin typeface="Segoe UI" panose="020B0502040204020203" pitchFamily="34" charset="0"/>
              <a:cs typeface="Segoe UI" panose="020B0502040204020203" pitchFamily="34" charset="0"/>
            </a:rPr>
            <a:t>This histogram shows the distribution of request durations for the selected agency within the current date window. It reveals how long cases typically take to resolve and highlights whether the agency’s resolution times are tightly clustered or widely spread. Long‑tail behavior, spikes at specific durations, or unusually wide distributions can indicate operational bottlenecks or inconsistent workflows.</a:t>
          </a:r>
          <a:endParaRPr lang="en-US" sz="1200">
            <a:latin typeface="Segoe UI" panose="020B0502040204020203" pitchFamily="34" charset="0"/>
            <a:cs typeface="Segoe UI" panose="020B0502040204020203" pitchFamily="34" charset="0"/>
          </a:endParaRPr>
        </a:p>
        <a:p>
          <a:r>
            <a:rPr lang="en-US" sz="1200" b="1">
              <a:latin typeface="Segoe UI" panose="020B0502040204020203" pitchFamily="34" charset="0"/>
              <a:cs typeface="Segoe UI" panose="020B0502040204020203" pitchFamily="34" charset="0"/>
            </a:rPr>
            <a:t>2. Duration Spread (Box &amp; Whisker — Selected Agency)</a:t>
          </a:r>
        </a:p>
        <a:p>
          <a:r>
            <a:rPr lang="en-US" sz="1200">
              <a:effectLst/>
              <a:latin typeface="Segoe UI" panose="020B0502040204020203" pitchFamily="34" charset="0"/>
              <a:cs typeface="Segoe UI" panose="020B0502040204020203" pitchFamily="34" charset="0"/>
            </a:rPr>
            <a:t>The box‑and‑whisker plot summarizes the statistical spread of durations for the selected agency. It displays the median, quartiles, and outliers, providing a compact view of resolution performance. This visual is especially useful for identifying skewed distributions, extreme cases, or agencies with unusually high variability in response times.</a:t>
          </a:r>
          <a:endParaRPr lang="en-US" sz="1200">
            <a:latin typeface="Segoe UI" panose="020B0502040204020203" pitchFamily="34" charset="0"/>
            <a:cs typeface="Segoe UI" panose="020B0502040204020203" pitchFamily="34" charset="0"/>
          </a:endParaRPr>
        </a:p>
        <a:p>
          <a:r>
            <a:rPr lang="en-US" sz="1200" b="1">
              <a:latin typeface="Segoe UI" panose="020B0502040204020203" pitchFamily="34" charset="0"/>
              <a:cs typeface="Segoe UI" panose="020B0502040204020203" pitchFamily="34" charset="0"/>
            </a:rPr>
            <a:t>3. Daily Request Volume (Line Chart — Selected Agency)</a:t>
          </a:r>
        </a:p>
        <a:p>
          <a:r>
            <a:rPr lang="en-US" sz="1200">
              <a:effectLst/>
              <a:latin typeface="Segoe UI" panose="020B0502040204020203" pitchFamily="34" charset="0"/>
              <a:cs typeface="Segoe UI" panose="020B0502040204020203" pitchFamily="34" charset="0"/>
            </a:rPr>
            <a:t>This timeline shows the number of requests per day for the selected agency across the window dates. It highlights temporal patterns such as weekday cycles, sudden spikes, or periods of reduced activity. Because it is tied to the semantic layer, the chart updates instantly when the agency or date window changes, making it a reliable tool for trend analysis.</a:t>
          </a:r>
        </a:p>
        <a:p>
          <a:r>
            <a:rPr lang="en-US" sz="1200" b="1"/>
            <a:t>Note:</a:t>
          </a:r>
          <a:r>
            <a:rPr lang="en-US" sz="1200"/>
            <a:t> The Slice_311 dataset currently contains only one date (12/31/24), so the timeline may appear blank. This is expected behavior and will populate automatically when the slice includes multiple days.</a:t>
          </a:r>
          <a:endParaRPr lang="en-US" sz="1200">
            <a:latin typeface="Segoe UI" panose="020B0502040204020203" pitchFamily="34" charset="0"/>
            <a:cs typeface="Segoe UI" panose="020B0502040204020203" pitchFamily="34" charset="0"/>
          </a:endParaRPr>
        </a:p>
        <a:p>
          <a:r>
            <a:rPr lang="en-US" sz="1200" b="1">
              <a:latin typeface="Segoe UI" panose="020B0502040204020203" pitchFamily="34" charset="0"/>
              <a:cs typeface="Segoe UI" panose="020B0502040204020203" pitchFamily="34" charset="0"/>
            </a:rPr>
            <a:t>4. Daily Volume by Agency (Stacked Bar Chart — All Agencies)</a:t>
          </a:r>
        </a:p>
        <a:p>
          <a:r>
            <a:rPr lang="en-US" sz="1200">
              <a:effectLst/>
              <a:latin typeface="Segoe UI" panose="020B0502040204020203" pitchFamily="34" charset="0"/>
              <a:cs typeface="Segoe UI" panose="020B0502040204020203" pitchFamily="34" charset="0"/>
            </a:rPr>
            <a:t>This stacked bar chart displays the total number of requests per day, broken out by agency. It provides a multi‑agency view of workload distribution across the window dates and helps identify which agencies contribute most to daily fluctuations. This visual is particularly effective for spotting cross‑agency surges or days where one department dominates the request load.</a:t>
          </a:r>
          <a:endParaRPr lang="en-US" sz="1200">
            <a:latin typeface="Segoe UI" panose="020B0502040204020203" pitchFamily="34" charset="0"/>
            <a:cs typeface="Segoe UI" panose="020B0502040204020203" pitchFamily="34" charset="0"/>
          </a:endParaRPr>
        </a:p>
        <a:p>
          <a:r>
            <a:rPr lang="en-US" sz="1200" b="1">
              <a:latin typeface="Segoe UI" panose="020B0502040204020203" pitchFamily="34" charset="0"/>
              <a:cs typeface="Segoe UI" panose="020B0502040204020203" pitchFamily="34" charset="0"/>
            </a:rPr>
            <a:t>✔️ Why These Four Visuals Matter</a:t>
          </a:r>
        </a:p>
        <a:p>
          <a:r>
            <a:rPr lang="en-US" sz="1200">
              <a:effectLst/>
              <a:latin typeface="Segoe UI" panose="020B0502040204020203" pitchFamily="34" charset="0"/>
              <a:cs typeface="Segoe UI" panose="020B0502040204020203" pitchFamily="34" charset="0"/>
            </a:rPr>
            <a:t>Together, these charts provide a balanced operational snapshot:</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Duration visuals</a:t>
          </a:r>
          <a:r>
            <a:rPr lang="en-US" sz="1200">
              <a:effectLst/>
              <a:latin typeface="Segoe UI" panose="020B0502040204020203" pitchFamily="34" charset="0"/>
              <a:cs typeface="Segoe UI" panose="020B0502040204020203" pitchFamily="34" charset="0"/>
            </a:rPr>
            <a:t> show how long cases take and how consistent agencies are.</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Timeline visuals</a:t>
          </a:r>
          <a:r>
            <a:rPr lang="en-US" sz="1200">
              <a:effectLst/>
              <a:latin typeface="Segoe UI" panose="020B0502040204020203" pitchFamily="34" charset="0"/>
              <a:cs typeface="Segoe UI" panose="020B0502040204020203" pitchFamily="34" charset="0"/>
            </a:rPr>
            <a:t> show when cases arrive and how volume shifts over time.</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Stacked bars</a:t>
          </a:r>
          <a:r>
            <a:rPr lang="en-US" sz="1200">
              <a:effectLst/>
              <a:latin typeface="Segoe UI" panose="020B0502040204020203" pitchFamily="34" charset="0"/>
              <a:cs typeface="Segoe UI" panose="020B0502040204020203" pitchFamily="34" charset="0"/>
            </a:rPr>
            <a:t> reveal cross‑agency workload patterns.</a:t>
          </a:r>
          <a:endParaRPr lang="en-US" sz="1200">
            <a:latin typeface="Segoe UI" panose="020B0502040204020203" pitchFamily="34" charset="0"/>
            <a:cs typeface="Segoe UI" panose="020B0502040204020203" pitchFamily="34" charset="0"/>
          </a:endParaRPr>
        </a:p>
        <a:p>
          <a:r>
            <a:rPr lang="en-US" sz="1200">
              <a:effectLst/>
              <a:latin typeface="Segoe UI" panose="020B0502040204020203" pitchFamily="34" charset="0"/>
              <a:cs typeface="Segoe UI" panose="020B0502040204020203" pitchFamily="34" charset="0"/>
            </a:rPr>
            <a:t>All four visuals are powered by the semantic layer, ensuring that every chart remains consistent, interpretable, and responsive to user selections.</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14</xdr:row>
      <xdr:rowOff>7620</xdr:rowOff>
    </xdr:from>
    <xdr:to>
      <xdr:col>5</xdr:col>
      <xdr:colOff>15240</xdr:colOff>
      <xdr:row>32</xdr:row>
      <xdr:rowOff>30480</xdr:rowOff>
    </xdr:to>
    <xdr:sp macro="" textlink="">
      <xdr:nvSpPr>
        <xdr:cNvPr id="2" name="TextBox 1">
          <a:extLst>
            <a:ext uri="{FF2B5EF4-FFF2-40B4-BE49-F238E27FC236}">
              <a16:creationId xmlns:a16="http://schemas.microsoft.com/office/drawing/2014/main" id="{612F4063-8058-4756-82D5-4292BEDBED69}"/>
            </a:ext>
          </a:extLst>
        </xdr:cNvPr>
        <xdr:cNvSpPr txBox="1"/>
      </xdr:nvSpPr>
      <xdr:spPr>
        <a:xfrm>
          <a:off x="7620" y="5730240"/>
          <a:ext cx="9768840" cy="3589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latin typeface="Segoe UI" panose="020B0502040204020203" pitchFamily="34" charset="0"/>
              <a:cs typeface="Segoe UI" panose="020B0502040204020203" pitchFamily="34" charset="0"/>
            </a:rPr>
            <a:t>Quality Assurance Summary</a:t>
          </a:r>
        </a:p>
        <a:p>
          <a:r>
            <a:rPr lang="en-US" sz="1200">
              <a:effectLst/>
              <a:latin typeface="Segoe UI" panose="020B0502040204020203" pitchFamily="34" charset="0"/>
              <a:cs typeface="Segoe UI" panose="020B0502040204020203" pitchFamily="34" charset="0"/>
            </a:rPr>
            <a:t>This dataset underwent a structured QA process to ensure accuracy, consistency, and reproducibility across all modeling layers: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Null and Missing Value Audit:</a:t>
          </a:r>
          <a:r>
            <a:rPr lang="en-US" sz="1200">
              <a:effectLst/>
              <a:latin typeface="Segoe UI" panose="020B0502040204020203" pitchFamily="34" charset="0"/>
              <a:cs typeface="Segoe UI" panose="020B0502040204020203" pitchFamily="34" charset="0"/>
            </a:rPr>
            <a:t> Verified presence, distribution, and handling of nulls across all columns; confirmed no critical fields were left unresolved.</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Duplicate Record Check:</a:t>
          </a:r>
          <a:r>
            <a:rPr lang="en-US" sz="1200">
              <a:effectLst/>
              <a:latin typeface="Segoe UI" panose="020B0502040204020203" pitchFamily="34" charset="0"/>
              <a:cs typeface="Segoe UI" panose="020B0502040204020203" pitchFamily="34" charset="0"/>
            </a:rPr>
            <a:t> Scanned for duplicate service requests using unique identifiers and timestamp combinations; no operational duplicates remained after cleaning.</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Mapping Table Validation:</a:t>
          </a:r>
          <a:r>
            <a:rPr lang="en-US" sz="1200">
              <a:effectLst/>
              <a:latin typeface="Segoe UI" panose="020B0502040204020203" pitchFamily="34" charset="0"/>
              <a:cs typeface="Segoe UI" panose="020B0502040204020203" pitchFamily="34" charset="0"/>
            </a:rPr>
            <a:t> Cross‑checked all raw category values against the canonical mapping table; surfaced long‑tail anomalies and resolved them through explicit categorization.</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Canonical Category Integrity:</a:t>
          </a:r>
          <a:r>
            <a:rPr lang="en-US" sz="1200">
              <a:effectLst/>
              <a:latin typeface="Segoe UI" panose="020B0502040204020203" pitchFamily="34" charset="0"/>
              <a:cs typeface="Segoe UI" panose="020B0502040204020203" pitchFamily="34" charset="0"/>
            </a:rPr>
            <a:t> Ensured all cleaned categories conformed to the finalized canonical set; validated no drift or unclassified values remained.</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Formula and Spill Logic Verification:</a:t>
          </a:r>
          <a:r>
            <a:rPr lang="en-US" sz="1200">
              <a:effectLst/>
              <a:latin typeface="Segoe UI" panose="020B0502040204020203" pitchFamily="34" charset="0"/>
              <a:cs typeface="Segoe UI" panose="020B0502040204020203" pitchFamily="34" charset="0"/>
            </a:rPr>
            <a:t> Confirmed all derived columns use dynamic arrays, semantic naming, and spill‑driven logic; no manual steps or hard‑coded references remain.</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Chart Range and Semantic Name Consistency:</a:t>
          </a:r>
          <a:r>
            <a:rPr lang="en-US" sz="1200">
              <a:effectLst/>
              <a:latin typeface="Segoe UI" panose="020B0502040204020203" pitchFamily="34" charset="0"/>
              <a:cs typeface="Segoe UI" panose="020B0502040204020203" pitchFamily="34" charset="0"/>
            </a:rPr>
            <a:t> Reviewed all chart inputs to ensure they reference semantic names rather than cell ranges; validated dynamic behavior across filters and updates.</a:t>
          </a:r>
          <a:endParaRPr lang="en-US" sz="1200">
            <a:latin typeface="Segoe UI" panose="020B0502040204020203" pitchFamily="34" charset="0"/>
            <a:cs typeface="Segoe UI" panose="020B0502040204020203" pitchFamily="34" charset="0"/>
          </a:endParaRPr>
        </a:p>
        <a:p>
          <a:r>
            <a:rPr lang="en-US" sz="1200" b="1">
              <a:effectLst/>
              <a:latin typeface="Segoe UI" panose="020B0502040204020203" pitchFamily="34" charset="0"/>
              <a:cs typeface="Segoe UI" panose="020B0502040204020203" pitchFamily="34" charset="0"/>
            </a:rPr>
            <a:t>Final Structural Review:</a:t>
          </a:r>
          <a:r>
            <a:rPr lang="en-US" sz="1200">
              <a:effectLst/>
              <a:latin typeface="Segoe UI" panose="020B0502040204020203" pitchFamily="34" charset="0"/>
              <a:cs typeface="Segoe UI" panose="020B0502040204020203" pitchFamily="34" charset="0"/>
            </a:rPr>
            <a:t> Checked for leftover helper columns, temporary fields, or scratch work; confirmed the cleaned table is stable, minimal, and production‑ready.</a:t>
          </a:r>
          <a:endParaRPr lang="en-US" sz="1200">
            <a:latin typeface="Segoe UI" panose="020B0502040204020203" pitchFamily="34" charset="0"/>
            <a:cs typeface="Segoe UI" panose="020B0502040204020203" pitchFamily="34" charset="0"/>
          </a:endParaRPr>
        </a:p>
        <a:p>
          <a:endParaRPr lang="en-US" sz="1200">
            <a:latin typeface="Segoe UI" panose="020B0502040204020203" pitchFamily="34" charset="0"/>
            <a:cs typeface="Segoe UI" panose="020B05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350520</xdr:colOff>
          <xdr:row>46</xdr:row>
          <xdr:rowOff>0</xdr:rowOff>
        </xdr:from>
        <xdr:to>
          <xdr:col>3</xdr:col>
          <xdr:colOff>838200</xdr:colOff>
          <xdr:row>48</xdr:row>
          <xdr:rowOff>121920</xdr:rowOff>
        </xdr:to>
        <xdr:sp macro="" textlink="">
          <xdr:nvSpPr>
            <xdr:cNvPr id="5126" name="spin_window_size" hidden="1">
              <a:extLst>
                <a:ext uri="{63B3BB69-23CF-44E3-9099-C40C66FF867C}">
                  <a14:compatExt spid="_x0000_s5126"/>
                </a:ext>
                <a:ext uri="{FF2B5EF4-FFF2-40B4-BE49-F238E27FC236}">
                  <a16:creationId xmlns:a16="http://schemas.microsoft.com/office/drawing/2014/main" id="{00000000-0008-0000-0300-000006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46</xdr:row>
          <xdr:rowOff>190500</xdr:rowOff>
        </xdr:from>
        <xdr:to>
          <xdr:col>10</xdr:col>
          <xdr:colOff>0</xdr:colOff>
          <xdr:row>48</xdr:row>
          <xdr:rowOff>121920</xdr:rowOff>
        </xdr:to>
        <xdr:sp macro="" textlink="">
          <xdr:nvSpPr>
            <xdr:cNvPr id="5122" name="scroll_time_series"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xdr:col>
      <xdr:colOff>11464</xdr:colOff>
      <xdr:row>45</xdr:row>
      <xdr:rowOff>167640</xdr:rowOff>
    </xdr:from>
    <xdr:to>
      <xdr:col>10</xdr:col>
      <xdr:colOff>796</xdr:colOff>
      <xdr:row>46</xdr:row>
      <xdr:rowOff>170688</xdr:rowOff>
    </xdr:to>
    <xdr:sp macro="" textlink="">
      <xdr:nvSpPr>
        <xdr:cNvPr id="19" name="txtl_scroll_instructions">
          <a:extLst>
            <a:ext uri="{FF2B5EF4-FFF2-40B4-BE49-F238E27FC236}">
              <a16:creationId xmlns:a16="http://schemas.microsoft.com/office/drawing/2014/main" id="{2BD32143-94EB-7CC6-B78C-AFA616F82014}"/>
            </a:ext>
          </a:extLst>
        </xdr:cNvPr>
        <xdr:cNvSpPr txBox="1"/>
      </xdr:nvSpPr>
      <xdr:spPr>
        <a:xfrm>
          <a:off x="7494304" y="9144000"/>
          <a:ext cx="5971032" cy="2011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panose="020B0502040204020203" pitchFamily="34" charset="0"/>
              <a:cs typeface="Segoe UI" panose="020B0502040204020203" pitchFamily="34" charset="0"/>
            </a:rPr>
            <a:t>Scroll to move the time window</a:t>
          </a:r>
        </a:p>
      </xdr:txBody>
    </xdr:sp>
    <xdr:clientData/>
  </xdr:twoCellAnchor>
  <xdr:twoCellAnchor>
    <xdr:from>
      <xdr:col>1</xdr:col>
      <xdr:colOff>3810</xdr:colOff>
      <xdr:row>49</xdr:row>
      <xdr:rowOff>194310</xdr:rowOff>
    </xdr:from>
    <xdr:to>
      <xdr:col>12</xdr:col>
      <xdr:colOff>2286</xdr:colOff>
      <xdr:row>73</xdr:row>
      <xdr:rowOff>11430</xdr:rowOff>
    </xdr:to>
    <xdr:graphicFrame macro="">
      <xdr:nvGraphicFramePr>
        <xdr:cNvPr id="27" name="Chart_VolumeByAgency">
          <a:extLst>
            <a:ext uri="{FF2B5EF4-FFF2-40B4-BE49-F238E27FC236}">
              <a16:creationId xmlns:a16="http://schemas.microsoft.com/office/drawing/2014/main" id="{07045D58-414A-C1BA-4850-EF8A70196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xdr:colOff>
      <xdr:row>1</xdr:row>
      <xdr:rowOff>0</xdr:rowOff>
    </xdr:from>
    <xdr:to>
      <xdr:col>6</xdr:col>
      <xdr:colOff>422910</xdr:colOff>
      <xdr:row>19</xdr:row>
      <xdr:rowOff>60960</xdr:rowOff>
    </xdr:to>
    <mc:AlternateContent xmlns:mc="http://schemas.openxmlformats.org/markup-compatibility/2006">
      <mc:Choice xmlns:cx1="http://schemas.microsoft.com/office/drawing/2015/9/8/chartex" Requires="cx1">
        <xdr:graphicFrame macro="">
          <xdr:nvGraphicFramePr>
            <xdr:cNvPr id="22" name="Chart_DurationDistribution">
              <a:extLst>
                <a:ext uri="{FF2B5EF4-FFF2-40B4-BE49-F238E27FC236}">
                  <a16:creationId xmlns:a16="http://schemas.microsoft.com/office/drawing/2014/main" id="{8F3519AB-A044-96A7-5E0C-6683473832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701290" y="259080"/>
              <a:ext cx="6400800" cy="44500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3810</xdr:colOff>
      <xdr:row>26</xdr:row>
      <xdr:rowOff>0</xdr:rowOff>
    </xdr:from>
    <xdr:to>
      <xdr:col>12</xdr:col>
      <xdr:colOff>0</xdr:colOff>
      <xdr:row>44</xdr:row>
      <xdr:rowOff>192024</xdr:rowOff>
    </xdr:to>
    <xdr:graphicFrame macro="">
      <xdr:nvGraphicFramePr>
        <xdr:cNvPr id="6" name="Chart_DailyVolume">
          <a:extLst>
            <a:ext uri="{FF2B5EF4-FFF2-40B4-BE49-F238E27FC236}">
              <a16:creationId xmlns:a16="http://schemas.microsoft.com/office/drawing/2014/main" id="{326EA2DF-468F-7DBB-32BE-3065F0064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xdr:colOff>
      <xdr:row>1</xdr:row>
      <xdr:rowOff>0</xdr:rowOff>
    </xdr:from>
    <xdr:to>
      <xdr:col>12</xdr:col>
      <xdr:colOff>422910</xdr:colOff>
      <xdr:row>19</xdr:row>
      <xdr:rowOff>60960</xdr:rowOff>
    </xdr:to>
    <mc:AlternateContent xmlns:mc="http://schemas.openxmlformats.org/markup-compatibility/2006">
      <mc:Choice xmlns:cx1="http://schemas.microsoft.com/office/drawing/2015/9/8/chartex" Requires="cx1">
        <xdr:graphicFrame macro="">
          <xdr:nvGraphicFramePr>
            <xdr:cNvPr id="23" name="Chart_DurationSpread">
              <a:extLst>
                <a:ext uri="{FF2B5EF4-FFF2-40B4-BE49-F238E27FC236}">
                  <a16:creationId xmlns:a16="http://schemas.microsoft.com/office/drawing/2014/main" id="{9894D047-EDEE-03DF-BAAA-D5352C6076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879330" y="259080"/>
              <a:ext cx="6400800" cy="44500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3810</xdr:colOff>
      <xdr:row>1</xdr:row>
      <xdr:rowOff>0</xdr:rowOff>
    </xdr:from>
    <xdr:to>
      <xdr:col>12</xdr:col>
      <xdr:colOff>422910</xdr:colOff>
      <xdr:row>2</xdr:row>
      <xdr:rowOff>0</xdr:rowOff>
    </xdr:to>
    <xdr:sp macro="" textlink="title_box_and_whisker">
      <xdr:nvSpPr>
        <xdr:cNvPr id="26" name="txt_b&amp;w_title">
          <a:extLst>
            <a:ext uri="{FF2B5EF4-FFF2-40B4-BE49-F238E27FC236}">
              <a16:creationId xmlns:a16="http://schemas.microsoft.com/office/drawing/2014/main" id="{3CAF340F-D02C-4D6A-A823-4B863ACE4CD7}"/>
            </a:ext>
          </a:extLst>
        </xdr:cNvPr>
        <xdr:cNvSpPr txBox="1"/>
      </xdr:nvSpPr>
      <xdr:spPr>
        <a:xfrm>
          <a:off x="9879330" y="228600"/>
          <a:ext cx="64008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0E0151-5ACD-40E6-9123-C9F60D41E2E2}" type="TxLink">
            <a:rPr lang="en-US" sz="14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Duration Spread — Public Works (7-day window) Dec 31 to Dec 31</a:t>
          </a:fld>
          <a:endParaRPr lang="en-US" sz="14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xdr:col>
      <xdr:colOff>0</xdr:colOff>
      <xdr:row>1</xdr:row>
      <xdr:rowOff>7620</xdr:rowOff>
    </xdr:from>
    <xdr:to>
      <xdr:col>6</xdr:col>
      <xdr:colOff>419100</xdr:colOff>
      <xdr:row>2</xdr:row>
      <xdr:rowOff>7620</xdr:rowOff>
    </xdr:to>
    <xdr:sp macro="" textlink="title_histogram">
      <xdr:nvSpPr>
        <xdr:cNvPr id="15" name="txt_histogram">
          <a:extLst>
            <a:ext uri="{FF2B5EF4-FFF2-40B4-BE49-F238E27FC236}">
              <a16:creationId xmlns:a16="http://schemas.microsoft.com/office/drawing/2014/main" id="{B6494D90-2F90-3FF1-D3C7-9E580D3465EB}"/>
            </a:ext>
          </a:extLst>
        </xdr:cNvPr>
        <xdr:cNvSpPr txBox="1"/>
      </xdr:nvSpPr>
      <xdr:spPr>
        <a:xfrm>
          <a:off x="2697480" y="236220"/>
          <a:ext cx="64008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416D2D-FD49-41BC-ACC7-683F40D25EA7}" type="TxLink">
            <a:rPr lang="en-US" sz="1400" b="0" i="0" u="none" strike="noStrike">
              <a:solidFill>
                <a:srgbClr val="000000"/>
              </a:solidFill>
              <a:latin typeface="Segoe UI Semibold" panose="020B0702040204020203" pitchFamily="34" charset="0"/>
              <a:cs typeface="Segoe UI Semibold" panose="020B0702040204020203" pitchFamily="34" charset="0"/>
            </a:rPr>
            <a:pPr algn="ctr"/>
            <a:t>Duration Distribution — Public Works (7-day window) Dec 31 to Dec 31</a:t>
          </a:fld>
          <a:endParaRPr lang="en-US" sz="1400">
            <a:latin typeface="Segoe UI Semibold" panose="020B0702040204020203" pitchFamily="34" charset="0"/>
            <a:cs typeface="Segoe UI Semibold" panose="020B0702040204020203" pitchFamily="34" charset="0"/>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cdr:x>
      <cdr:y>0.00347</cdr:y>
    </cdr:from>
    <cdr:to>
      <cdr:x>1</cdr:x>
      <cdr:y>0.06597</cdr:y>
    </cdr:to>
    <cdr:sp macro="" textlink="title_volume_by_agency">
      <cdr:nvSpPr>
        <cdr:cNvPr id="3" name="TextBox 1">
          <a:extLst xmlns:a="http://schemas.openxmlformats.org/drawingml/2006/main">
            <a:ext uri="{FF2B5EF4-FFF2-40B4-BE49-F238E27FC236}">
              <a16:creationId xmlns:a16="http://schemas.microsoft.com/office/drawing/2014/main" id="{1ED4F1D7-67F4-D1CD-ED91-DEE1BD587ECC}"/>
            </a:ext>
          </a:extLst>
        </cdr:cNvPr>
        <cdr:cNvSpPr txBox="1"/>
      </cdr:nvSpPr>
      <cdr:spPr>
        <a:xfrm xmlns:a="http://schemas.openxmlformats.org/drawingml/2006/main">
          <a:off x="0" y="12700"/>
          <a:ext cx="12801600" cy="22860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58A5C880-93AE-455A-9CC3-B7CEAE5059A0}" type="TxLink">
            <a:rPr lang="en-US" sz="14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Daily Volume by Agency —  (7-day window) Dec 31 to Dec 31</a:t>
          </a:fld>
          <a:endParaRPr lang="en-US" sz="1400" b="0" i="0" u="none" strike="noStrike">
            <a:solidFill>
              <a:srgbClr val="000000"/>
            </a:solidFill>
            <a:latin typeface="Segoe UI Semibold" panose="020B0702040204020203" pitchFamily="34" charset="0"/>
            <a:ea typeface="+mn-ea"/>
            <a:cs typeface="Segoe UI Semibold" panose="020B0702040204020203"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0.00046</cdr:y>
    </cdr:from>
    <cdr:to>
      <cdr:x>1</cdr:x>
      <cdr:y>0.0588</cdr:y>
    </cdr:to>
    <cdr:sp macro="" textlink="">
      <cdr:nvSpPr>
        <cdr:cNvPr id="2" name="TextBox 1">
          <a:extLst xmlns:a="http://schemas.openxmlformats.org/drawingml/2006/main">
            <a:ext uri="{FF2B5EF4-FFF2-40B4-BE49-F238E27FC236}">
              <a16:creationId xmlns:a16="http://schemas.microsoft.com/office/drawing/2014/main" id="{A6978C88-C0E2-9715-5BD3-71606C13AEAD}"/>
            </a:ext>
          </a:extLst>
        </cdr:cNvPr>
        <cdr:cNvSpPr txBox="1"/>
      </cdr:nvSpPr>
      <cdr:spPr>
        <a:xfrm xmlns:a="http://schemas.openxmlformats.org/drawingml/2006/main">
          <a:off x="0" y="1729"/>
          <a:ext cx="13155930" cy="2192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0.00573</cdr:y>
    </cdr:from>
    <cdr:to>
      <cdr:x>1</cdr:x>
      <cdr:y>0.07872</cdr:y>
    </cdr:to>
    <cdr:sp macro="" textlink="title_daily_volume">
      <cdr:nvSpPr>
        <cdr:cNvPr id="5" name="txt_DailyCaseVolume_Title">
          <a:extLst xmlns:a="http://schemas.openxmlformats.org/drawingml/2006/main">
            <a:ext uri="{FF2B5EF4-FFF2-40B4-BE49-F238E27FC236}">
              <a16:creationId xmlns:a16="http://schemas.microsoft.com/office/drawing/2014/main" id="{1B45A06F-04CF-7730-04E5-5CB01EFF556F}"/>
            </a:ext>
          </a:extLst>
        </cdr:cNvPr>
        <cdr:cNvSpPr txBox="1"/>
      </cdr:nvSpPr>
      <cdr:spPr>
        <a:xfrm xmlns:a="http://schemas.openxmlformats.org/drawingml/2006/main">
          <a:off x="0" y="21525"/>
          <a:ext cx="13155930" cy="27431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ctr"/>
        <a:lstStyle xmlns:a="http://schemas.openxmlformats.org/drawingml/2006/main"/>
        <a:p xmlns:a="http://schemas.openxmlformats.org/drawingml/2006/main">
          <a:pPr marL="0" indent="0" algn="ctr"/>
          <a:fld id="{51002E1D-43CE-40FE-A12A-4EA1E3E907A2}" type="TxLink">
            <a:rPr lang="en-US" sz="14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Daily Case Volume — Public Works (7-day window) Dec 31 to Dec 31</a:t>
          </a:fld>
          <a:endParaRPr lang="en-US" sz="1400" b="0" i="0" u="none" strike="noStrike">
            <a:solidFill>
              <a:srgbClr val="000000"/>
            </a:solidFill>
            <a:latin typeface="Segoe UI Semibold" panose="020B0702040204020203" pitchFamily="34" charset="0"/>
            <a:ea typeface="+mn-ea"/>
            <a:cs typeface="Segoe UI Semibold" panose="020B0702040204020203" pitchFamily="34" charset="0"/>
          </a:endParaRPr>
        </a:p>
      </cdr:txBody>
    </cdr:sp>
  </cdr:relSizeAnchor>
</c:userShape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61F7AA-5B07-430D-9853-95240DFE1B98}" name="Slice_311" displayName="Slice_311" ref="A1:L501" totalsRowShown="0" headerRowDxfId="18" dataDxfId="16" headerRowBorderDxfId="17" tableBorderDxfId="15" totalsRowBorderDxfId="14">
  <autoFilter ref="A1:L501" xr:uid="{5461F7AA-5B07-430D-9853-95240DFE1B98}"/>
  <tableColumns count="12">
    <tableColumn id="1" xr3:uid="{64E5CBD7-25AA-4ADC-B8FB-0346D2E9143E}" name="Case Status" dataDxfId="13"/>
    <tableColumn id="2" xr3:uid="{62966D08-54B9-4506-A92C-3396B71471C2}" name="Created Date" dataDxfId="12"/>
    <tableColumn id="3" xr3:uid="{74D6A989-6F1C-46E2-986A-51D89D590BE5}" name="Closed Date" dataDxfId="11"/>
    <tableColumn id="4" xr3:uid="{9E3694C0-3620-48B8-84DD-EADF9FA23247}" name="Duration" dataDxfId="10"/>
    <tableColumn id="5" xr3:uid="{329C3B05-1025-406B-857F-0DFC28610B3C}" name="Is Open" dataDxfId="9"/>
    <tableColumn id="6" xr3:uid="{772FAF80-258F-4321-9BD6-2C5CB5C2A0E2}" name="Agency" dataDxfId="8"/>
    <tableColumn id="7" xr3:uid="{2508D9D4-130B-47F4-8C3B-1A9A735D387B}" name="Longitude" dataDxfId="7"/>
    <tableColumn id="8" xr3:uid="{DBD9CD86-9AE1-4D2F-AF7B-0406214DAE9A}" name="Latitude" dataDxfId="6"/>
    <tableColumn id="9" xr3:uid="{89F34FD2-F6C3-4681-A448-1192C23FA274}" name="Has Location" dataDxfId="5"/>
    <tableColumn id="10" xr3:uid="{0908E635-47B6-451E-9B3E-70338CF90ACE}" name="Is_Continuation" dataDxfId="4"/>
    <tableColumn id="11" xr3:uid="{E7B14AD7-C249-4202-B8B2-B849EAE3BBFD}" name="Is_MissingAgency_ValidCase" dataDxfId="3"/>
    <tableColumn id="12" xr3:uid="{70A7361F-14D0-4206-9401-1440FAA928FA}" name="Council Distric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7DA211-AFC7-4D52-A3A4-4ABC8C63C86E}" name="LOOKUPS_311" displayName="LOOKUPS_311" ref="A1:B42" totalsRowShown="0">
  <autoFilter ref="A1:B42" xr:uid="{5F7DA211-AFC7-4D52-A3A4-4ABC8C63C86E}"/>
  <tableColumns count="2">
    <tableColumn id="1" xr3:uid="{C052A276-350A-47D4-B871-2C55360E2E90}" name="Raw Status"/>
    <tableColumn id="2" xr3:uid="{19BA9339-448B-448C-87E2-B7F7A10A0943}" name="Canonical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FDC8A2-E4E5-4F04-A139-194400645868}" name="Names_dictionary" displayName="Names_dictionary" ref="D1:F31" totalsRowShown="0">
  <autoFilter ref="D1:F31" xr:uid="{66FDC8A2-E4E5-4F04-A139-194400645868}"/>
  <tableColumns count="3">
    <tableColumn id="1" xr3:uid="{74FAC299-A543-4112-90E4-B3B34C9C41AC}" name="Name"/>
    <tableColumn id="2" xr3:uid="{B25C3C68-4D3B-4561-9069-73245BEB27D2}" name="RefersTo" dataDxfId="1"/>
    <tableColumn id="3" xr3:uid="{A2C3254C-F5A7-4132-A193-15506871513A}" name="Dependencies" dataDxfId="0">
      <calculatedColumnFormula>Names_dictionary[[#This Row],[RefersTo]]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02FB-EEE1-4D75-85BC-BC537822607E}">
  <sheetPr codeName="Sheet1">
    <tabColor rgb="FF7A70C0"/>
  </sheetPr>
  <dimension ref="A1:A352"/>
  <sheetViews>
    <sheetView tabSelected="1" workbookViewId="0"/>
  </sheetViews>
  <sheetFormatPr defaultRowHeight="15.6"/>
  <sheetData>
    <row r="1" ht="15.6" customHeight="1"/>
    <row r="2" ht="15.6" customHeight="1"/>
    <row r="3" ht="15.6" customHeight="1"/>
    <row r="4" ht="15.6" customHeight="1"/>
    <row r="5" ht="15.6" customHeight="1"/>
    <row r="6" ht="15.6" customHeight="1"/>
    <row r="7" ht="30" customHeight="1"/>
    <row r="8" ht="15.6" customHeight="1"/>
    <row r="9" ht="15.6" customHeight="1"/>
    <row r="10" ht="15.6" customHeight="1"/>
    <row r="11" ht="15.6" customHeight="1"/>
    <row r="12" ht="75" customHeight="1"/>
    <row r="13" ht="15.6" customHeight="1"/>
    <row r="14" ht="15.6" customHeight="1"/>
    <row r="15" ht="15.6" customHeight="1"/>
    <row r="16" ht="15.6" customHeight="1"/>
    <row r="17" ht="15.6" customHeight="1"/>
    <row r="18" ht="15.6" customHeight="1"/>
    <row r="19" ht="15.6" customHeight="1"/>
    <row r="20" ht="15.6" customHeight="1"/>
    <row r="21" ht="15.6" customHeight="1"/>
    <row r="22" ht="15.6" customHeight="1"/>
    <row r="23" ht="15.6" customHeight="1"/>
    <row r="24" ht="15.6" customHeight="1"/>
    <row r="25" ht="15.6" customHeight="1"/>
    <row r="26" ht="23.4" customHeight="1"/>
    <row r="27" s="30" customFormat="1" ht="17.399999999999999" customHeight="1"/>
    <row r="28" s="30" customFormat="1" ht="17.399999999999999"/>
    <row r="29" s="30" customFormat="1" ht="17.399999999999999"/>
    <row r="30" s="30" customFormat="1" ht="17.399999999999999"/>
    <row r="31" s="30" customFormat="1" ht="17.399999999999999"/>
    <row r="32" s="30" customFormat="1" ht="17.399999999999999"/>
    <row r="33" s="30" customFormat="1" ht="17.399999999999999"/>
    <row r="34" s="30" customFormat="1" ht="17.399999999999999"/>
    <row r="35" s="30" customFormat="1" ht="17.399999999999999"/>
    <row r="36" s="30" customFormat="1" ht="17.399999999999999"/>
    <row r="37" s="30" customFormat="1" ht="17.399999999999999"/>
    <row r="38" s="30" customFormat="1" ht="17.399999999999999"/>
    <row r="39" s="30" customFormat="1" ht="17.399999999999999"/>
    <row r="40" s="30" customFormat="1" ht="17.399999999999999"/>
    <row r="41" s="30" customFormat="1" ht="17.399999999999999"/>
    <row r="42" s="30" customFormat="1" ht="17.399999999999999"/>
    <row r="43" s="30" customFormat="1" ht="17.399999999999999"/>
    <row r="44" s="30" customFormat="1" ht="17.399999999999999"/>
    <row r="45" s="30" customFormat="1" ht="17.399999999999999"/>
    <row r="46" s="30" customFormat="1" ht="17.399999999999999"/>
    <row r="47" s="30" customFormat="1" ht="17.399999999999999"/>
    <row r="48" s="30" customFormat="1" ht="17.399999999999999"/>
    <row r="49" s="30" customFormat="1" ht="17.399999999999999"/>
    <row r="50" s="30" customFormat="1" ht="17.399999999999999"/>
    <row r="51" s="30" customFormat="1" ht="17.399999999999999"/>
    <row r="52" s="30" customFormat="1" ht="17.399999999999999"/>
    <row r="53" s="30" customFormat="1" ht="17.399999999999999"/>
    <row r="54" s="30" customFormat="1" ht="17.399999999999999"/>
    <row r="55" s="30" customFormat="1" ht="17.399999999999999"/>
    <row r="56" s="30" customFormat="1" ht="17.399999999999999"/>
    <row r="57" s="30" customFormat="1" ht="17.399999999999999"/>
    <row r="58" s="30" customFormat="1" ht="17.399999999999999"/>
    <row r="59" s="30" customFormat="1" ht="17.399999999999999"/>
    <row r="60" s="30" customFormat="1" ht="17.399999999999999"/>
    <row r="61" s="30" customFormat="1" ht="17.399999999999999"/>
    <row r="62" s="30" customFormat="1" ht="17.399999999999999"/>
    <row r="63" s="30" customFormat="1" ht="17.399999999999999"/>
    <row r="64" s="30" customFormat="1" ht="17.399999999999999"/>
    <row r="65" s="30" customFormat="1" ht="17.399999999999999"/>
    <row r="66" s="30" customFormat="1" ht="17.399999999999999"/>
    <row r="67" s="30" customFormat="1" ht="17.399999999999999"/>
    <row r="68" s="30" customFormat="1" ht="17.399999999999999"/>
    <row r="69" s="30" customFormat="1" ht="17.399999999999999"/>
    <row r="70" s="30" customFormat="1" ht="17.399999999999999"/>
    <row r="71" s="30" customFormat="1" ht="17.399999999999999"/>
    <row r="72" s="30" customFormat="1" ht="17.399999999999999"/>
    <row r="73" s="30" customFormat="1" ht="17.399999999999999"/>
    <row r="74" s="30" customFormat="1" ht="17.399999999999999"/>
    <row r="75" s="30" customFormat="1" ht="17.399999999999999"/>
    <row r="76" s="30" customFormat="1" ht="17.399999999999999"/>
    <row r="77" s="30" customFormat="1" ht="17.399999999999999"/>
    <row r="78" s="30" customFormat="1" ht="17.399999999999999"/>
    <row r="79" s="30" customFormat="1" ht="17.399999999999999"/>
    <row r="80" s="30" customFormat="1" ht="17.399999999999999"/>
    <row r="81" s="30" customFormat="1" ht="17.399999999999999"/>
    <row r="82" s="30" customFormat="1" ht="17.399999999999999"/>
    <row r="83" s="30" customFormat="1" ht="17.399999999999999"/>
    <row r="84" s="30" customFormat="1" ht="17.399999999999999"/>
    <row r="85" s="30" customFormat="1" ht="17.399999999999999"/>
    <row r="86" s="30" customFormat="1" ht="17.399999999999999"/>
    <row r="87" s="30" customFormat="1" ht="17.399999999999999"/>
    <row r="88" s="30" customFormat="1" ht="17.399999999999999"/>
    <row r="89" s="30" customFormat="1" ht="17.399999999999999"/>
    <row r="90" s="30" customFormat="1" ht="17.399999999999999"/>
    <row r="91" s="30" customFormat="1" ht="17.399999999999999"/>
    <row r="92" s="30" customFormat="1" ht="17.399999999999999"/>
    <row r="93" s="30" customFormat="1" ht="17.399999999999999"/>
    <row r="94" s="30" customFormat="1" ht="17.399999999999999"/>
    <row r="95" s="30" customFormat="1" ht="17.399999999999999"/>
    <row r="96" s="30" customFormat="1" ht="17.399999999999999"/>
    <row r="97" s="30" customFormat="1" ht="17.399999999999999"/>
    <row r="98" s="30" customFormat="1" ht="17.399999999999999"/>
    <row r="99" s="30" customFormat="1" ht="17.399999999999999"/>
    <row r="100" s="30" customFormat="1" ht="17.399999999999999"/>
    <row r="101" s="30" customFormat="1" ht="17.399999999999999"/>
    <row r="102" s="30" customFormat="1" ht="17.399999999999999"/>
    <row r="103" s="30" customFormat="1" ht="17.399999999999999"/>
    <row r="104" s="30" customFormat="1" ht="17.399999999999999"/>
    <row r="105" s="30" customFormat="1" ht="17.399999999999999"/>
    <row r="106" s="30" customFormat="1" ht="17.399999999999999"/>
    <row r="107" s="30" customFormat="1" ht="17.399999999999999"/>
    <row r="108" s="30" customFormat="1" ht="17.399999999999999"/>
    <row r="109" s="30" customFormat="1" ht="17.399999999999999"/>
    <row r="110" s="30" customFormat="1" ht="17.399999999999999"/>
    <row r="111" s="30" customFormat="1" ht="17.399999999999999"/>
    <row r="112" s="30" customFormat="1" ht="17.399999999999999"/>
    <row r="113" s="30" customFormat="1" ht="17.399999999999999"/>
    <row r="114" s="30" customFormat="1" ht="17.399999999999999"/>
    <row r="115" s="30" customFormat="1" ht="17.399999999999999"/>
    <row r="116" s="30" customFormat="1" ht="17.399999999999999"/>
    <row r="117" s="30" customFormat="1" ht="17.399999999999999"/>
    <row r="118" s="30" customFormat="1" ht="17.399999999999999"/>
    <row r="119" s="30" customFormat="1" ht="17.399999999999999"/>
    <row r="120" ht="15.6" customHeight="1"/>
    <row r="121" ht="15.6" customHeight="1"/>
    <row r="122" ht="15.6" customHeight="1"/>
    <row r="123" ht="15.6" customHeight="1"/>
    <row r="124" ht="15.6" customHeight="1"/>
    <row r="125" ht="15.6" customHeight="1"/>
    <row r="126" ht="15.6" customHeight="1"/>
    <row r="127" ht="15.6" customHeight="1"/>
    <row r="128" ht="15.6" customHeight="1"/>
    <row r="129" ht="15.6" customHeight="1"/>
    <row r="130" ht="15.6" customHeight="1"/>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row r="272" ht="15.6" customHeight="1"/>
    <row r="273" ht="15.6" customHeight="1"/>
    <row r="274" ht="15.6" customHeight="1"/>
    <row r="275" ht="15.6" customHeight="1"/>
    <row r="276" ht="15.6" customHeight="1"/>
    <row r="277" ht="15.6" customHeight="1"/>
    <row r="278" ht="15.6" customHeight="1"/>
    <row r="279" ht="15.6" customHeight="1"/>
    <row r="280" ht="15.6" customHeight="1"/>
    <row r="281" ht="15.6" customHeight="1"/>
    <row r="282" ht="15.6" customHeight="1"/>
    <row r="283" ht="15.6" customHeight="1"/>
    <row r="284" ht="15.6" customHeight="1"/>
    <row r="285" ht="15.6" customHeight="1"/>
    <row r="286" ht="15.6" customHeight="1"/>
    <row r="287" ht="15.6" customHeight="1"/>
    <row r="288" ht="15.6" customHeight="1"/>
    <row r="289" ht="15.6" customHeight="1"/>
    <row r="290" ht="15.6" customHeight="1"/>
    <row r="291" ht="15.6" customHeight="1"/>
    <row r="292" ht="15.6" customHeight="1"/>
    <row r="293" ht="15.6" customHeight="1"/>
    <row r="294" ht="15.6" customHeight="1"/>
    <row r="295" ht="15.6" customHeight="1"/>
    <row r="296" ht="15.6" customHeight="1"/>
    <row r="297" ht="15.6" customHeight="1"/>
    <row r="298" ht="15.6" customHeight="1"/>
    <row r="299" ht="15.6" customHeight="1"/>
    <row r="300" ht="15.6" customHeight="1"/>
    <row r="301" ht="15.6" customHeight="1"/>
    <row r="302" ht="15.6" customHeight="1"/>
    <row r="303" ht="15.6" customHeight="1"/>
    <row r="304" ht="15.6" customHeight="1"/>
    <row r="305" ht="15.6" customHeight="1"/>
    <row r="306" ht="15.6" customHeight="1"/>
    <row r="307" ht="15.6" customHeight="1"/>
    <row r="308" ht="15.6" customHeight="1"/>
    <row r="309" ht="15.6" customHeight="1"/>
    <row r="310" ht="15.6" customHeight="1"/>
    <row r="311" ht="15.6" customHeight="1"/>
    <row r="312" ht="15.6" customHeight="1"/>
    <row r="313" ht="15.6" customHeight="1"/>
    <row r="314" ht="15.6" customHeight="1"/>
    <row r="315" ht="15.6" customHeight="1"/>
    <row r="316" ht="15.6" customHeight="1"/>
    <row r="317" ht="15.6" customHeight="1"/>
    <row r="318" ht="15.6" customHeight="1"/>
    <row r="319" ht="15.6" customHeight="1"/>
    <row r="320" ht="15.6" customHeight="1"/>
    <row r="321" ht="15.6" customHeight="1"/>
    <row r="322" ht="15.6" customHeight="1"/>
    <row r="323" ht="15.6" customHeight="1"/>
    <row r="324" ht="15.6" customHeight="1"/>
    <row r="325" ht="15.6" customHeight="1"/>
    <row r="326" ht="15.6" customHeight="1"/>
    <row r="327" ht="15.6" customHeight="1"/>
    <row r="328" ht="15.6" customHeight="1"/>
    <row r="329" ht="15.6" customHeight="1"/>
    <row r="330" ht="15.6" customHeight="1"/>
    <row r="331" ht="15.6" customHeight="1"/>
    <row r="332" ht="15.6" customHeight="1"/>
    <row r="333" ht="15.6" customHeight="1"/>
    <row r="334" ht="15.6" customHeight="1"/>
    <row r="335" ht="15.6" customHeight="1"/>
    <row r="336" ht="15.6" customHeight="1"/>
    <row r="337" ht="15.6" customHeight="1"/>
    <row r="338" ht="15.6" customHeight="1"/>
    <row r="339" ht="15.6" customHeight="1"/>
    <row r="340" ht="15.6" customHeight="1"/>
    <row r="341" ht="15.6" customHeight="1"/>
    <row r="342" ht="15.6" customHeight="1"/>
    <row r="343" ht="15.6" customHeight="1"/>
    <row r="344" ht="15.6" customHeight="1"/>
    <row r="345" ht="15.6" customHeight="1"/>
    <row r="346" ht="15.6" customHeight="1"/>
    <row r="347" ht="15.6" customHeight="1"/>
    <row r="348" ht="15.6" customHeight="1"/>
    <row r="349" ht="15.6" customHeight="1"/>
    <row r="350" ht="15.6" customHeight="1"/>
    <row r="351" ht="15.6" customHeight="1"/>
    <row r="352" ht="15.6"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0022D-C7BD-4D69-827B-143E115FF8E0}">
  <sheetPr codeName="Sheet5">
    <tabColor rgb="FFFFFF00"/>
  </sheetPr>
  <dimension ref="A1:F11"/>
  <sheetViews>
    <sheetView workbookViewId="0"/>
  </sheetViews>
  <sheetFormatPr defaultRowHeight="15.6"/>
  <cols>
    <col min="1" max="1" width="15.59765625" bestFit="1" customWidth="1"/>
    <col min="2" max="2" width="21.69921875" bestFit="1" customWidth="1"/>
    <col min="3" max="3" width="30.59765625" bestFit="1" customWidth="1"/>
    <col min="4" max="4" width="30.19921875" bestFit="1" customWidth="1"/>
    <col min="5" max="5" width="30" bestFit="1" customWidth="1"/>
    <col min="6" max="6" width="35" bestFit="1" customWidth="1"/>
  </cols>
  <sheetData>
    <row r="1" spans="1:6" ht="19.8">
      <c r="A1" s="31" t="s">
        <v>50</v>
      </c>
      <c r="B1" s="32" t="s">
        <v>51</v>
      </c>
      <c r="C1" s="32" t="s">
        <v>52</v>
      </c>
      <c r="D1" s="32" t="s">
        <v>53</v>
      </c>
      <c r="E1" s="32" t="s">
        <v>54</v>
      </c>
      <c r="F1" s="33" t="s">
        <v>55</v>
      </c>
    </row>
    <row r="2" spans="1:6" ht="57.6">
      <c r="A2" s="34" t="s">
        <v>0</v>
      </c>
      <c r="B2" s="35" t="s">
        <v>56</v>
      </c>
      <c r="C2" s="35" t="s">
        <v>57</v>
      </c>
      <c r="D2" s="35" t="s">
        <v>58</v>
      </c>
      <c r="E2" s="35" t="s">
        <v>59</v>
      </c>
      <c r="F2" s="36" t="s">
        <v>213</v>
      </c>
    </row>
    <row r="3" spans="1:6" ht="19.2">
      <c r="A3" s="34" t="s">
        <v>39</v>
      </c>
      <c r="B3" s="35" t="s">
        <v>60</v>
      </c>
      <c r="C3" s="35" t="s">
        <v>61</v>
      </c>
      <c r="D3" s="35" t="s">
        <v>62</v>
      </c>
      <c r="E3" s="35" t="s">
        <v>63</v>
      </c>
      <c r="F3" s="37" t="s">
        <v>64</v>
      </c>
    </row>
    <row r="4" spans="1:6" ht="38.4">
      <c r="A4" s="34" t="s">
        <v>40</v>
      </c>
      <c r="B4" s="35" t="s">
        <v>65</v>
      </c>
      <c r="C4" s="35" t="s">
        <v>66</v>
      </c>
      <c r="D4" s="35" t="s">
        <v>67</v>
      </c>
      <c r="E4" s="35" t="s">
        <v>63</v>
      </c>
      <c r="F4" s="37" t="s">
        <v>68</v>
      </c>
    </row>
    <row r="5" spans="1:6" ht="38.4">
      <c r="A5" s="34" t="s">
        <v>41</v>
      </c>
      <c r="B5" s="35" t="s">
        <v>69</v>
      </c>
      <c r="C5" s="35" t="s">
        <v>70</v>
      </c>
      <c r="D5" s="35" t="s">
        <v>71</v>
      </c>
      <c r="E5" s="35" t="s">
        <v>63</v>
      </c>
      <c r="F5" s="37" t="s">
        <v>212</v>
      </c>
    </row>
    <row r="6" spans="1:6" ht="38.4">
      <c r="A6" s="34" t="s">
        <v>42</v>
      </c>
      <c r="B6" s="35" t="s">
        <v>72</v>
      </c>
      <c r="C6" s="35" t="s">
        <v>73</v>
      </c>
      <c r="D6" s="35" t="s">
        <v>74</v>
      </c>
      <c r="E6" s="35" t="s">
        <v>75</v>
      </c>
      <c r="F6" s="37" t="s">
        <v>76</v>
      </c>
    </row>
    <row r="7" spans="1:6" ht="38.4">
      <c r="A7" s="34" t="s">
        <v>3</v>
      </c>
      <c r="B7" s="35" t="s">
        <v>77</v>
      </c>
      <c r="C7" s="35" t="s">
        <v>78</v>
      </c>
      <c r="D7" s="35" t="s">
        <v>79</v>
      </c>
      <c r="E7" s="35" t="s">
        <v>80</v>
      </c>
      <c r="F7" s="37" t="s">
        <v>81</v>
      </c>
    </row>
    <row r="8" spans="1:6" ht="38.4">
      <c r="A8" s="34" t="s">
        <v>1</v>
      </c>
      <c r="B8" s="35" t="s">
        <v>82</v>
      </c>
      <c r="C8" s="35" t="s">
        <v>83</v>
      </c>
      <c r="D8" s="35" t="s">
        <v>84</v>
      </c>
      <c r="E8" s="35" t="s">
        <v>63</v>
      </c>
      <c r="F8" s="37" t="s">
        <v>85</v>
      </c>
    </row>
    <row r="9" spans="1:6" ht="38.4">
      <c r="A9" s="34" t="s">
        <v>2</v>
      </c>
      <c r="B9" s="35" t="s">
        <v>86</v>
      </c>
      <c r="C9" s="35" t="s">
        <v>83</v>
      </c>
      <c r="D9" s="35" t="s">
        <v>84</v>
      </c>
      <c r="E9" s="35" t="s">
        <v>63</v>
      </c>
      <c r="F9" s="37" t="s">
        <v>87</v>
      </c>
    </row>
    <row r="10" spans="1:6" ht="38.4">
      <c r="A10" s="34" t="s">
        <v>43</v>
      </c>
      <c r="B10" s="35" t="s">
        <v>88</v>
      </c>
      <c r="C10" s="35" t="s">
        <v>73</v>
      </c>
      <c r="D10" s="35" t="s">
        <v>89</v>
      </c>
      <c r="E10" s="35" t="s">
        <v>63</v>
      </c>
      <c r="F10" s="37" t="s">
        <v>90</v>
      </c>
    </row>
    <row r="11" spans="1:6" ht="38.4">
      <c r="A11" s="38" t="s">
        <v>91</v>
      </c>
      <c r="B11" s="39" t="s">
        <v>92</v>
      </c>
      <c r="C11" s="39" t="s">
        <v>78</v>
      </c>
      <c r="D11" s="39" t="s">
        <v>93</v>
      </c>
      <c r="E11" s="39" t="s">
        <v>94</v>
      </c>
      <c r="F11" s="40" t="s">
        <v>95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EA241-796C-4EF7-B928-A4C514FB3210}">
  <sheetPr codeName="Sheet2">
    <tabColor theme="0"/>
  </sheetPr>
  <dimension ref="A1:L501"/>
  <sheetViews>
    <sheetView workbookViewId="0">
      <pane ySplit="1" topLeftCell="A2" activePane="bottomLeft" state="frozen"/>
      <selection pane="bottomLeft" sqref="A1:L1"/>
    </sheetView>
  </sheetViews>
  <sheetFormatPr defaultRowHeight="15.6"/>
  <cols>
    <col min="1" max="1" width="24.69921875" customWidth="1"/>
    <col min="2" max="3" width="11.69921875" style="1" customWidth="1"/>
    <col min="4" max="5" width="9.69921875" style="2" customWidth="1"/>
    <col min="6" max="6" width="10.69921875" customWidth="1"/>
    <col min="7" max="8" width="11.69921875" style="3" customWidth="1"/>
    <col min="9" max="11" width="9.69921875" style="2" customWidth="1"/>
    <col min="12" max="12" width="11.69921875" customWidth="1"/>
  </cols>
  <sheetData>
    <row r="1" spans="1:12">
      <c r="A1" s="29" t="s">
        <v>0</v>
      </c>
      <c r="B1" s="22" t="s">
        <v>39</v>
      </c>
      <c r="C1" s="22" t="s">
        <v>40</v>
      </c>
      <c r="D1" s="23" t="s">
        <v>41</v>
      </c>
      <c r="E1" s="23" t="s">
        <v>42</v>
      </c>
      <c r="F1" s="24" t="s">
        <v>3</v>
      </c>
      <c r="G1" s="25" t="s">
        <v>1</v>
      </c>
      <c r="H1" s="25" t="s">
        <v>2</v>
      </c>
      <c r="I1" s="23" t="s">
        <v>43</v>
      </c>
      <c r="J1" s="23" t="s">
        <v>130</v>
      </c>
      <c r="K1" s="23" t="s">
        <v>129</v>
      </c>
      <c r="L1" s="26" t="s">
        <v>91</v>
      </c>
    </row>
    <row r="2" spans="1:12">
      <c r="A2" s="12" t="s">
        <v>27</v>
      </c>
      <c r="B2" s="17">
        <v>45657</v>
      </c>
      <c r="C2" s="17">
        <v>45657</v>
      </c>
      <c r="D2" s="15">
        <v>0</v>
      </c>
      <c r="E2" s="15">
        <v>0</v>
      </c>
      <c r="F2" s="12" t="s">
        <v>5</v>
      </c>
      <c r="G2" s="18" t="s">
        <v>110</v>
      </c>
      <c r="H2" s="18" t="s">
        <v>110</v>
      </c>
      <c r="I2" s="15">
        <v>0</v>
      </c>
      <c r="J2" s="15">
        <v>0</v>
      </c>
      <c r="K2" s="15">
        <v>0</v>
      </c>
      <c r="L2" s="12" t="s">
        <v>110</v>
      </c>
    </row>
    <row r="3" spans="1:12">
      <c r="A3" s="16" t="s">
        <v>31</v>
      </c>
      <c r="B3" s="19">
        <v>45657</v>
      </c>
      <c r="C3" s="19">
        <v>45659</v>
      </c>
      <c r="D3" s="20">
        <v>2</v>
      </c>
      <c r="E3" s="20">
        <v>0</v>
      </c>
      <c r="F3" s="16" t="s">
        <v>13</v>
      </c>
      <c r="G3" s="21">
        <v>-105.02073109</v>
      </c>
      <c r="H3" s="21">
        <v>39.695978580000002</v>
      </c>
      <c r="I3" s="20">
        <v>1</v>
      </c>
      <c r="J3" s="20">
        <v>0</v>
      </c>
      <c r="K3" s="20">
        <v>0</v>
      </c>
      <c r="L3" s="16" t="s">
        <v>197</v>
      </c>
    </row>
    <row r="4" spans="1:12">
      <c r="A4" s="12" t="s">
        <v>46</v>
      </c>
      <c r="B4" s="17">
        <v>45657</v>
      </c>
      <c r="C4" s="17">
        <v>45657</v>
      </c>
      <c r="D4" s="15">
        <v>0</v>
      </c>
      <c r="E4" s="15">
        <v>0</v>
      </c>
      <c r="F4" s="12" t="s">
        <v>96</v>
      </c>
      <c r="G4" s="18" t="s">
        <v>110</v>
      </c>
      <c r="H4" s="18" t="s">
        <v>110</v>
      </c>
      <c r="I4" s="15">
        <v>0</v>
      </c>
      <c r="J4" s="15">
        <v>0</v>
      </c>
      <c r="K4" s="15">
        <v>0</v>
      </c>
      <c r="L4" s="12" t="s">
        <v>110</v>
      </c>
    </row>
    <row r="5" spans="1:12">
      <c r="A5" s="16" t="s">
        <v>10</v>
      </c>
      <c r="B5" s="19">
        <v>45657</v>
      </c>
      <c r="C5" s="19">
        <v>45657</v>
      </c>
      <c r="D5" s="20">
        <v>0</v>
      </c>
      <c r="E5" s="20">
        <v>0</v>
      </c>
      <c r="F5" s="16" t="s">
        <v>7</v>
      </c>
      <c r="G5" s="21" t="s">
        <v>110</v>
      </c>
      <c r="H5" s="21" t="s">
        <v>110</v>
      </c>
      <c r="I5" s="20">
        <v>0</v>
      </c>
      <c r="J5" s="20">
        <v>0</v>
      </c>
      <c r="K5" s="20">
        <v>0</v>
      </c>
      <c r="L5" s="16" t="s">
        <v>110</v>
      </c>
    </row>
    <row r="6" spans="1:12">
      <c r="A6" s="12" t="s">
        <v>46</v>
      </c>
      <c r="B6" s="17">
        <v>45657</v>
      </c>
      <c r="C6" s="17">
        <v>45657</v>
      </c>
      <c r="D6" s="15">
        <v>0</v>
      </c>
      <c r="E6" s="15">
        <v>0</v>
      </c>
      <c r="F6" s="12" t="s">
        <v>13</v>
      </c>
      <c r="G6" s="18" t="s">
        <v>110</v>
      </c>
      <c r="H6" s="18" t="s">
        <v>110</v>
      </c>
      <c r="I6" s="15">
        <v>0</v>
      </c>
      <c r="J6" s="15">
        <v>0</v>
      </c>
      <c r="K6" s="15">
        <v>0</v>
      </c>
      <c r="L6" s="12" t="s">
        <v>110</v>
      </c>
    </row>
    <row r="7" spans="1:12">
      <c r="A7" s="16" t="s">
        <v>46</v>
      </c>
      <c r="B7" s="19">
        <v>45657</v>
      </c>
      <c r="C7" s="19">
        <v>45657</v>
      </c>
      <c r="D7" s="20">
        <v>0</v>
      </c>
      <c r="E7" s="20">
        <v>0</v>
      </c>
      <c r="F7" s="16" t="s">
        <v>5</v>
      </c>
      <c r="G7" s="21" t="s">
        <v>110</v>
      </c>
      <c r="H7" s="21" t="s">
        <v>110</v>
      </c>
      <c r="I7" s="20">
        <v>0</v>
      </c>
      <c r="J7" s="20">
        <v>0</v>
      </c>
      <c r="K7" s="20">
        <v>0</v>
      </c>
      <c r="L7" s="16" t="s">
        <v>110</v>
      </c>
    </row>
    <row r="8" spans="1:12">
      <c r="A8" s="12" t="s">
        <v>38</v>
      </c>
      <c r="B8" s="17">
        <v>45657</v>
      </c>
      <c r="C8" s="17" t="s">
        <v>110</v>
      </c>
      <c r="D8" s="15" t="e">
        <v>#N/A</v>
      </c>
      <c r="E8" s="15">
        <v>1</v>
      </c>
      <c r="F8" s="12" t="s">
        <v>23</v>
      </c>
      <c r="G8" s="18" t="s">
        <v>110</v>
      </c>
      <c r="H8" s="18" t="s">
        <v>110</v>
      </c>
      <c r="I8" s="15">
        <v>0</v>
      </c>
      <c r="J8" s="15">
        <v>0</v>
      </c>
      <c r="K8" s="15">
        <v>0</v>
      </c>
      <c r="L8" s="12" t="s">
        <v>110</v>
      </c>
    </row>
    <row r="9" spans="1:12">
      <c r="A9" s="16" t="s">
        <v>33</v>
      </c>
      <c r="B9" s="19">
        <v>45657</v>
      </c>
      <c r="C9" s="19">
        <v>45660</v>
      </c>
      <c r="D9" s="20">
        <v>3</v>
      </c>
      <c r="E9" s="20">
        <v>0</v>
      </c>
      <c r="F9" s="16" t="s">
        <v>9</v>
      </c>
      <c r="G9" s="21">
        <v>-104.96554633</v>
      </c>
      <c r="H9" s="21">
        <v>39.726158650000002</v>
      </c>
      <c r="I9" s="20">
        <v>1</v>
      </c>
      <c r="J9" s="20">
        <v>0</v>
      </c>
      <c r="K9" s="20">
        <v>0</v>
      </c>
      <c r="L9" s="16" t="s">
        <v>198</v>
      </c>
    </row>
    <row r="10" spans="1:12">
      <c r="A10" s="12" t="s">
        <v>46</v>
      </c>
      <c r="B10" s="17">
        <v>45657</v>
      </c>
      <c r="C10" s="17">
        <v>45657</v>
      </c>
      <c r="D10" s="15">
        <v>0</v>
      </c>
      <c r="E10" s="15">
        <v>0</v>
      </c>
      <c r="F10" s="12" t="s">
        <v>5</v>
      </c>
      <c r="G10" s="18" t="s">
        <v>110</v>
      </c>
      <c r="H10" s="18" t="s">
        <v>110</v>
      </c>
      <c r="I10" s="15">
        <v>0</v>
      </c>
      <c r="J10" s="15">
        <v>0</v>
      </c>
      <c r="K10" s="15">
        <v>0</v>
      </c>
      <c r="L10" s="12" t="s">
        <v>110</v>
      </c>
    </row>
    <row r="11" spans="1:12">
      <c r="A11" s="16" t="s">
        <v>10</v>
      </c>
      <c r="B11" s="19">
        <v>45657</v>
      </c>
      <c r="C11" s="19">
        <v>45657</v>
      </c>
      <c r="D11" s="20">
        <v>0</v>
      </c>
      <c r="E11" s="20">
        <v>0</v>
      </c>
      <c r="F11" s="16" t="s">
        <v>19</v>
      </c>
      <c r="G11" s="21" t="s">
        <v>110</v>
      </c>
      <c r="H11" s="21" t="s">
        <v>110</v>
      </c>
      <c r="I11" s="20">
        <v>0</v>
      </c>
      <c r="J11" s="20">
        <v>0</v>
      </c>
      <c r="K11" s="20">
        <v>0</v>
      </c>
      <c r="L11" s="16" t="s">
        <v>110</v>
      </c>
    </row>
    <row r="12" spans="1:12">
      <c r="A12" s="12" t="s">
        <v>10</v>
      </c>
      <c r="B12" s="17">
        <v>45657</v>
      </c>
      <c r="C12" s="17">
        <v>45658</v>
      </c>
      <c r="D12" s="15">
        <v>1</v>
      </c>
      <c r="E12" s="15">
        <v>0</v>
      </c>
      <c r="F12" s="12" t="s">
        <v>5</v>
      </c>
      <c r="G12" s="18">
        <v>-105.03567099999999</v>
      </c>
      <c r="H12" s="18">
        <v>39.734369999999998</v>
      </c>
      <c r="I12" s="15">
        <v>1</v>
      </c>
      <c r="J12" s="15">
        <v>0</v>
      </c>
      <c r="K12" s="15">
        <v>0</v>
      </c>
      <c r="L12" s="12" t="s">
        <v>199</v>
      </c>
    </row>
    <row r="13" spans="1:12">
      <c r="A13" s="16" t="s">
        <v>46</v>
      </c>
      <c r="B13" s="19">
        <v>45657</v>
      </c>
      <c r="C13" s="19">
        <v>45657</v>
      </c>
      <c r="D13" s="20">
        <v>0</v>
      </c>
      <c r="E13" s="20">
        <v>0</v>
      </c>
      <c r="F13" s="16" t="s">
        <v>13</v>
      </c>
      <c r="G13" s="21" t="s">
        <v>110</v>
      </c>
      <c r="H13" s="21" t="s">
        <v>110</v>
      </c>
      <c r="I13" s="20">
        <v>0</v>
      </c>
      <c r="J13" s="20">
        <v>0</v>
      </c>
      <c r="K13" s="20">
        <v>0</v>
      </c>
      <c r="L13" s="16" t="s">
        <v>110</v>
      </c>
    </row>
    <row r="14" spans="1:12">
      <c r="A14" s="12" t="s">
        <v>10</v>
      </c>
      <c r="B14" s="17">
        <v>45657</v>
      </c>
      <c r="C14" s="17">
        <v>45658</v>
      </c>
      <c r="D14" s="15">
        <v>1</v>
      </c>
      <c r="E14" s="15">
        <v>0</v>
      </c>
      <c r="F14" s="12" t="s">
        <v>5</v>
      </c>
      <c r="G14" s="18">
        <v>-105.05165526</v>
      </c>
      <c r="H14" s="18">
        <v>39.729220400000003</v>
      </c>
      <c r="I14" s="15">
        <v>1</v>
      </c>
      <c r="J14" s="15">
        <v>0</v>
      </c>
      <c r="K14" s="15">
        <v>0</v>
      </c>
      <c r="L14" s="12" t="s">
        <v>110</v>
      </c>
    </row>
    <row r="15" spans="1:12">
      <c r="A15" s="16" t="s">
        <v>46</v>
      </c>
      <c r="B15" s="19">
        <v>45657</v>
      </c>
      <c r="C15" s="19">
        <v>45657</v>
      </c>
      <c r="D15" s="20">
        <v>0</v>
      </c>
      <c r="E15" s="20">
        <v>0</v>
      </c>
      <c r="F15" s="16" t="s">
        <v>5</v>
      </c>
      <c r="G15" s="21" t="s">
        <v>110</v>
      </c>
      <c r="H15" s="21" t="s">
        <v>110</v>
      </c>
      <c r="I15" s="20">
        <v>0</v>
      </c>
      <c r="J15" s="20">
        <v>0</v>
      </c>
      <c r="K15" s="20">
        <v>0</v>
      </c>
      <c r="L15" s="16" t="s">
        <v>110</v>
      </c>
    </row>
    <row r="16" spans="1:12">
      <c r="A16" s="12" t="s">
        <v>10</v>
      </c>
      <c r="B16" s="17">
        <v>45657</v>
      </c>
      <c r="C16" s="17">
        <v>45657</v>
      </c>
      <c r="D16" s="15">
        <v>0</v>
      </c>
      <c r="E16" s="15">
        <v>0</v>
      </c>
      <c r="F16" s="12" t="s">
        <v>13</v>
      </c>
      <c r="G16" s="18" t="s">
        <v>110</v>
      </c>
      <c r="H16" s="18" t="s">
        <v>110</v>
      </c>
      <c r="I16" s="15">
        <v>0</v>
      </c>
      <c r="J16" s="15">
        <v>0</v>
      </c>
      <c r="K16" s="15">
        <v>0</v>
      </c>
      <c r="L16" s="12" t="s">
        <v>110</v>
      </c>
    </row>
    <row r="17" spans="1:12">
      <c r="A17" s="16" t="s">
        <v>46</v>
      </c>
      <c r="B17" s="19">
        <v>45657</v>
      </c>
      <c r="C17" s="19">
        <v>45659</v>
      </c>
      <c r="D17" s="20">
        <v>2</v>
      </c>
      <c r="E17" s="20">
        <v>0</v>
      </c>
      <c r="F17" s="16" t="s">
        <v>13</v>
      </c>
      <c r="G17" s="21">
        <v>-104.98486683</v>
      </c>
      <c r="H17" s="21">
        <v>39.739627249999998</v>
      </c>
      <c r="I17" s="20">
        <v>1</v>
      </c>
      <c r="J17" s="20">
        <v>0</v>
      </c>
      <c r="K17" s="20">
        <v>0</v>
      </c>
      <c r="L17" s="16" t="s">
        <v>200</v>
      </c>
    </row>
    <row r="18" spans="1:12">
      <c r="A18" s="12" t="s">
        <v>10</v>
      </c>
      <c r="B18" s="17">
        <v>45657</v>
      </c>
      <c r="C18" s="17">
        <v>45657</v>
      </c>
      <c r="D18" s="15">
        <v>0</v>
      </c>
      <c r="E18" s="15">
        <v>0</v>
      </c>
      <c r="F18" s="12" t="s">
        <v>7</v>
      </c>
      <c r="G18" s="18" t="s">
        <v>110</v>
      </c>
      <c r="H18" s="18" t="s">
        <v>110</v>
      </c>
      <c r="I18" s="15">
        <v>0</v>
      </c>
      <c r="J18" s="15">
        <v>0</v>
      </c>
      <c r="K18" s="15">
        <v>0</v>
      </c>
      <c r="L18" s="12" t="s">
        <v>110</v>
      </c>
    </row>
    <row r="19" spans="1:12">
      <c r="A19" s="16" t="s">
        <v>10</v>
      </c>
      <c r="B19" s="19">
        <v>45657</v>
      </c>
      <c r="C19" s="19">
        <v>45657</v>
      </c>
      <c r="D19" s="20">
        <v>0</v>
      </c>
      <c r="E19" s="20">
        <v>0</v>
      </c>
      <c r="F19" s="16" t="s">
        <v>22</v>
      </c>
      <c r="G19" s="21" t="s">
        <v>110</v>
      </c>
      <c r="H19" s="21" t="s">
        <v>110</v>
      </c>
      <c r="I19" s="20">
        <v>0</v>
      </c>
      <c r="J19" s="20">
        <v>0</v>
      </c>
      <c r="K19" s="20">
        <v>0</v>
      </c>
      <c r="L19" s="16" t="s">
        <v>110</v>
      </c>
    </row>
    <row r="20" spans="1:12">
      <c r="A20" s="12" t="s">
        <v>46</v>
      </c>
      <c r="B20" s="17">
        <v>45657</v>
      </c>
      <c r="C20" s="17">
        <v>45657</v>
      </c>
      <c r="D20" s="15">
        <v>0</v>
      </c>
      <c r="E20" s="15">
        <v>0</v>
      </c>
      <c r="F20" s="12" t="s">
        <v>13</v>
      </c>
      <c r="G20" s="18" t="s">
        <v>110</v>
      </c>
      <c r="H20" s="18" t="s">
        <v>110</v>
      </c>
      <c r="I20" s="15">
        <v>0</v>
      </c>
      <c r="J20" s="15">
        <v>0</v>
      </c>
      <c r="K20" s="15">
        <v>0</v>
      </c>
      <c r="L20" s="12" t="s">
        <v>110</v>
      </c>
    </row>
    <row r="21" spans="1:12">
      <c r="A21" s="16" t="s">
        <v>10</v>
      </c>
      <c r="B21" s="19">
        <v>45657</v>
      </c>
      <c r="C21" s="19">
        <v>45658</v>
      </c>
      <c r="D21" s="20">
        <v>1</v>
      </c>
      <c r="E21" s="20">
        <v>0</v>
      </c>
      <c r="F21" s="16" t="s">
        <v>5</v>
      </c>
      <c r="G21" s="21">
        <v>-104.982349</v>
      </c>
      <c r="H21" s="21">
        <v>39.748744000000002</v>
      </c>
      <c r="I21" s="20">
        <v>1</v>
      </c>
      <c r="J21" s="20">
        <v>0</v>
      </c>
      <c r="K21" s="20">
        <v>0</v>
      </c>
      <c r="L21" s="16" t="s">
        <v>110</v>
      </c>
    </row>
    <row r="22" spans="1:12">
      <c r="A22" s="12" t="s">
        <v>10</v>
      </c>
      <c r="B22" s="17">
        <v>45657</v>
      </c>
      <c r="C22" s="17">
        <v>45657</v>
      </c>
      <c r="D22" s="15">
        <v>0</v>
      </c>
      <c r="E22" s="15">
        <v>0</v>
      </c>
      <c r="F22" s="12" t="s">
        <v>5</v>
      </c>
      <c r="G22" s="18" t="s">
        <v>110</v>
      </c>
      <c r="H22" s="18" t="s">
        <v>110</v>
      </c>
      <c r="I22" s="15">
        <v>0</v>
      </c>
      <c r="J22" s="15">
        <v>0</v>
      </c>
      <c r="K22" s="15">
        <v>0</v>
      </c>
      <c r="L22" s="12" t="s">
        <v>110</v>
      </c>
    </row>
    <row r="23" spans="1:12">
      <c r="A23" s="16" t="s">
        <v>10</v>
      </c>
      <c r="B23" s="19">
        <v>45657</v>
      </c>
      <c r="C23" s="19">
        <v>45657</v>
      </c>
      <c r="D23" s="20">
        <v>0</v>
      </c>
      <c r="E23" s="20">
        <v>0</v>
      </c>
      <c r="F23" s="16" t="s">
        <v>96</v>
      </c>
      <c r="G23" s="21">
        <v>-104.91471496</v>
      </c>
      <c r="H23" s="21">
        <v>39.738709790000001</v>
      </c>
      <c r="I23" s="20">
        <v>1</v>
      </c>
      <c r="J23" s="20">
        <v>0</v>
      </c>
      <c r="K23" s="20">
        <v>0</v>
      </c>
      <c r="L23" s="16" t="s">
        <v>198</v>
      </c>
    </row>
    <row r="24" spans="1:12">
      <c r="A24" s="12" t="s">
        <v>10</v>
      </c>
      <c r="B24" s="17">
        <v>45657</v>
      </c>
      <c r="C24" s="17">
        <v>45657</v>
      </c>
      <c r="D24" s="15">
        <v>0</v>
      </c>
      <c r="E24" s="15">
        <v>0</v>
      </c>
      <c r="F24" s="12" t="s">
        <v>13</v>
      </c>
      <c r="G24" s="18" t="s">
        <v>110</v>
      </c>
      <c r="H24" s="18" t="s">
        <v>110</v>
      </c>
      <c r="I24" s="15">
        <v>0</v>
      </c>
      <c r="J24" s="15">
        <v>0</v>
      </c>
      <c r="K24" s="15">
        <v>0</v>
      </c>
      <c r="L24" s="12" t="s">
        <v>110</v>
      </c>
    </row>
    <row r="25" spans="1:12">
      <c r="A25" s="16" t="s">
        <v>4</v>
      </c>
      <c r="B25" s="19">
        <v>45657</v>
      </c>
      <c r="C25" s="19">
        <v>45657</v>
      </c>
      <c r="D25" s="20">
        <v>0</v>
      </c>
      <c r="E25" s="20">
        <v>0</v>
      </c>
      <c r="F25" s="16" t="s">
        <v>5</v>
      </c>
      <c r="G25" s="21" t="s">
        <v>110</v>
      </c>
      <c r="H25" s="21" t="s">
        <v>110</v>
      </c>
      <c r="I25" s="20">
        <v>0</v>
      </c>
      <c r="J25" s="20">
        <v>0</v>
      </c>
      <c r="K25" s="20">
        <v>0</v>
      </c>
      <c r="L25" s="16" t="s">
        <v>110</v>
      </c>
    </row>
    <row r="26" spans="1:12">
      <c r="A26" s="12" t="s">
        <v>46</v>
      </c>
      <c r="B26" s="17">
        <v>45657</v>
      </c>
      <c r="C26" s="17">
        <v>45657</v>
      </c>
      <c r="D26" s="15">
        <v>0</v>
      </c>
      <c r="E26" s="15">
        <v>0</v>
      </c>
      <c r="F26" s="12" t="s">
        <v>22</v>
      </c>
      <c r="G26" s="18" t="s">
        <v>110</v>
      </c>
      <c r="H26" s="18" t="s">
        <v>110</v>
      </c>
      <c r="I26" s="15">
        <v>0</v>
      </c>
      <c r="J26" s="15">
        <v>0</v>
      </c>
      <c r="K26" s="15">
        <v>0</v>
      </c>
      <c r="L26" s="12" t="s">
        <v>110</v>
      </c>
    </row>
    <row r="27" spans="1:12">
      <c r="A27" s="16" t="s">
        <v>46</v>
      </c>
      <c r="B27" s="19">
        <v>45657</v>
      </c>
      <c r="C27" s="19">
        <v>45657</v>
      </c>
      <c r="D27" s="20">
        <v>0</v>
      </c>
      <c r="E27" s="20">
        <v>0</v>
      </c>
      <c r="F27" s="16" t="s">
        <v>96</v>
      </c>
      <c r="G27" s="21">
        <v>-104.93780936</v>
      </c>
      <c r="H27" s="21">
        <v>39.714024190000004</v>
      </c>
      <c r="I27" s="20">
        <v>1</v>
      </c>
      <c r="J27" s="20">
        <v>0</v>
      </c>
      <c r="K27" s="20">
        <v>0</v>
      </c>
      <c r="L27" s="16" t="s">
        <v>198</v>
      </c>
    </row>
    <row r="28" spans="1:12">
      <c r="A28" s="12" t="s">
        <v>10</v>
      </c>
      <c r="B28" s="17">
        <v>45657</v>
      </c>
      <c r="C28" s="17">
        <v>45658</v>
      </c>
      <c r="D28" s="15">
        <v>1</v>
      </c>
      <c r="E28" s="15">
        <v>0</v>
      </c>
      <c r="F28" s="12" t="s">
        <v>5</v>
      </c>
      <c r="G28" s="18">
        <v>-104.91310095999999</v>
      </c>
      <c r="H28" s="18">
        <v>39.739993779999999</v>
      </c>
      <c r="I28" s="15">
        <v>1</v>
      </c>
      <c r="J28" s="15">
        <v>0</v>
      </c>
      <c r="K28" s="15">
        <v>0</v>
      </c>
      <c r="L28" s="12" t="s">
        <v>110</v>
      </c>
    </row>
    <row r="29" spans="1:12">
      <c r="A29" s="16" t="s">
        <v>46</v>
      </c>
      <c r="B29" s="19">
        <v>45657</v>
      </c>
      <c r="C29" s="19">
        <v>45688</v>
      </c>
      <c r="D29" s="20">
        <v>31</v>
      </c>
      <c r="E29" s="20">
        <v>0</v>
      </c>
      <c r="F29" s="16" t="s">
        <v>13</v>
      </c>
      <c r="G29" s="21">
        <v>-104.88301838</v>
      </c>
      <c r="H29" s="21">
        <v>39.758819000000003</v>
      </c>
      <c r="I29" s="20">
        <v>1</v>
      </c>
      <c r="J29" s="20">
        <v>0</v>
      </c>
      <c r="K29" s="20">
        <v>0</v>
      </c>
      <c r="L29" s="16" t="s">
        <v>201</v>
      </c>
    </row>
    <row r="30" spans="1:12">
      <c r="A30" s="12" t="s">
        <v>4</v>
      </c>
      <c r="B30" s="17">
        <v>45657</v>
      </c>
      <c r="C30" s="17">
        <v>45657</v>
      </c>
      <c r="D30" s="15">
        <v>0</v>
      </c>
      <c r="E30" s="15">
        <v>0</v>
      </c>
      <c r="F30" s="12" t="s">
        <v>5</v>
      </c>
      <c r="G30" s="18" t="s">
        <v>110</v>
      </c>
      <c r="H30" s="18" t="s">
        <v>110</v>
      </c>
      <c r="I30" s="15">
        <v>0</v>
      </c>
      <c r="J30" s="15">
        <v>0</v>
      </c>
      <c r="K30" s="15">
        <v>0</v>
      </c>
      <c r="L30" s="12" t="s">
        <v>110</v>
      </c>
    </row>
    <row r="31" spans="1:12">
      <c r="A31" s="16" t="s">
        <v>10</v>
      </c>
      <c r="B31" s="19">
        <v>45657</v>
      </c>
      <c r="C31" s="19">
        <v>45657</v>
      </c>
      <c r="D31" s="20">
        <v>0</v>
      </c>
      <c r="E31" s="20">
        <v>0</v>
      </c>
      <c r="F31" s="16" t="s">
        <v>7</v>
      </c>
      <c r="G31" s="21" t="s">
        <v>110</v>
      </c>
      <c r="H31" s="21" t="s">
        <v>110</v>
      </c>
      <c r="I31" s="20">
        <v>0</v>
      </c>
      <c r="J31" s="20">
        <v>0</v>
      </c>
      <c r="K31" s="20">
        <v>0</v>
      </c>
      <c r="L31" s="16" t="s">
        <v>110</v>
      </c>
    </row>
    <row r="32" spans="1:12">
      <c r="A32" s="12" t="s">
        <v>46</v>
      </c>
      <c r="B32" s="17">
        <v>45657</v>
      </c>
      <c r="C32" s="17">
        <v>45657</v>
      </c>
      <c r="D32" s="15">
        <v>0</v>
      </c>
      <c r="E32" s="15">
        <v>0</v>
      </c>
      <c r="F32" s="12" t="s">
        <v>5</v>
      </c>
      <c r="G32" s="18" t="s">
        <v>110</v>
      </c>
      <c r="H32" s="18" t="s">
        <v>110</v>
      </c>
      <c r="I32" s="15">
        <v>0</v>
      </c>
      <c r="J32" s="15">
        <v>0</v>
      </c>
      <c r="K32" s="15">
        <v>0</v>
      </c>
      <c r="L32" s="12" t="s">
        <v>110</v>
      </c>
    </row>
    <row r="33" spans="1:12">
      <c r="A33" s="16" t="s">
        <v>46</v>
      </c>
      <c r="B33" s="19">
        <v>45657</v>
      </c>
      <c r="C33" s="19">
        <v>45657</v>
      </c>
      <c r="D33" s="20">
        <v>0</v>
      </c>
      <c r="E33" s="20">
        <v>0</v>
      </c>
      <c r="F33" s="16" t="s">
        <v>7</v>
      </c>
      <c r="G33" s="21" t="s">
        <v>110</v>
      </c>
      <c r="H33" s="21" t="s">
        <v>110</v>
      </c>
      <c r="I33" s="20">
        <v>0</v>
      </c>
      <c r="J33" s="20">
        <v>0</v>
      </c>
      <c r="K33" s="20">
        <v>0</v>
      </c>
      <c r="L33" s="16" t="s">
        <v>110</v>
      </c>
    </row>
    <row r="34" spans="1:12">
      <c r="A34" s="12" t="s">
        <v>11</v>
      </c>
      <c r="B34" s="17">
        <v>45657</v>
      </c>
      <c r="C34" s="17">
        <v>45657</v>
      </c>
      <c r="D34" s="15">
        <v>0</v>
      </c>
      <c r="E34" s="15">
        <v>0</v>
      </c>
      <c r="F34" s="12" t="s">
        <v>17</v>
      </c>
      <c r="G34" s="18">
        <v>-104.97662935</v>
      </c>
      <c r="H34" s="18">
        <v>39.7174014</v>
      </c>
      <c r="I34" s="15">
        <v>1</v>
      </c>
      <c r="J34" s="15">
        <v>0</v>
      </c>
      <c r="K34" s="15">
        <v>0</v>
      </c>
      <c r="L34" s="12" t="s">
        <v>197</v>
      </c>
    </row>
    <row r="35" spans="1:12">
      <c r="A35" s="16" t="s">
        <v>46</v>
      </c>
      <c r="B35" s="19">
        <v>45657</v>
      </c>
      <c r="C35" s="19">
        <v>45657</v>
      </c>
      <c r="D35" s="20">
        <v>0</v>
      </c>
      <c r="E35" s="20">
        <v>0</v>
      </c>
      <c r="F35" s="16" t="s">
        <v>5</v>
      </c>
      <c r="G35" s="21" t="s">
        <v>110</v>
      </c>
      <c r="H35" s="21" t="s">
        <v>110</v>
      </c>
      <c r="I35" s="20">
        <v>0</v>
      </c>
      <c r="J35" s="20">
        <v>0</v>
      </c>
      <c r="K35" s="20">
        <v>0</v>
      </c>
      <c r="L35" s="16" t="s">
        <v>110</v>
      </c>
    </row>
    <row r="36" spans="1:12">
      <c r="A36" s="12" t="s">
        <v>4</v>
      </c>
      <c r="B36" s="17">
        <v>45657</v>
      </c>
      <c r="C36" s="17">
        <v>45660</v>
      </c>
      <c r="D36" s="15">
        <v>3</v>
      </c>
      <c r="E36" s="15">
        <v>0</v>
      </c>
      <c r="F36" s="12" t="s">
        <v>17</v>
      </c>
      <c r="G36" s="18">
        <v>-104.92249209000001</v>
      </c>
      <c r="H36" s="18">
        <v>39.768896730000002</v>
      </c>
      <c r="I36" s="15">
        <v>1</v>
      </c>
      <c r="J36" s="15">
        <v>0</v>
      </c>
      <c r="K36" s="15">
        <v>0</v>
      </c>
      <c r="L36" s="12" t="s">
        <v>201</v>
      </c>
    </row>
    <row r="37" spans="1:12">
      <c r="A37" s="16" t="s">
        <v>10</v>
      </c>
      <c r="B37" s="19">
        <v>45657</v>
      </c>
      <c r="C37" s="19">
        <v>45657</v>
      </c>
      <c r="D37" s="20">
        <v>0</v>
      </c>
      <c r="E37" s="20">
        <v>0</v>
      </c>
      <c r="F37" s="16" t="s">
        <v>13</v>
      </c>
      <c r="G37" s="21" t="s">
        <v>110</v>
      </c>
      <c r="H37" s="21" t="s">
        <v>110</v>
      </c>
      <c r="I37" s="20">
        <v>0</v>
      </c>
      <c r="J37" s="20">
        <v>0</v>
      </c>
      <c r="K37" s="20">
        <v>0</v>
      </c>
      <c r="L37" s="16" t="s">
        <v>110</v>
      </c>
    </row>
    <row r="38" spans="1:12">
      <c r="A38" s="12" t="s">
        <v>46</v>
      </c>
      <c r="B38" s="17">
        <v>45657</v>
      </c>
      <c r="C38" s="17">
        <v>45657</v>
      </c>
      <c r="D38" s="15">
        <v>0</v>
      </c>
      <c r="E38" s="15">
        <v>0</v>
      </c>
      <c r="F38" s="12" t="s">
        <v>96</v>
      </c>
      <c r="G38" s="18" t="s">
        <v>110</v>
      </c>
      <c r="H38" s="18" t="s">
        <v>110</v>
      </c>
      <c r="I38" s="15">
        <v>0</v>
      </c>
      <c r="J38" s="15">
        <v>0</v>
      </c>
      <c r="K38" s="15">
        <v>0</v>
      </c>
      <c r="L38" s="12" t="s">
        <v>110</v>
      </c>
    </row>
    <row r="39" spans="1:12">
      <c r="A39" s="16" t="s">
        <v>31</v>
      </c>
      <c r="B39" s="19">
        <v>45657</v>
      </c>
      <c r="C39" s="19">
        <v>45657</v>
      </c>
      <c r="D39" s="20">
        <v>0</v>
      </c>
      <c r="E39" s="20">
        <v>0</v>
      </c>
      <c r="F39" s="16" t="s">
        <v>5</v>
      </c>
      <c r="G39" s="21" t="s">
        <v>110</v>
      </c>
      <c r="H39" s="21" t="s">
        <v>110</v>
      </c>
      <c r="I39" s="20">
        <v>0</v>
      </c>
      <c r="J39" s="20">
        <v>0</v>
      </c>
      <c r="K39" s="20">
        <v>0</v>
      </c>
      <c r="L39" s="16" t="s">
        <v>110</v>
      </c>
    </row>
    <row r="40" spans="1:12">
      <c r="A40" s="12" t="s">
        <v>46</v>
      </c>
      <c r="B40" s="17">
        <v>45657</v>
      </c>
      <c r="C40" s="17">
        <v>45657</v>
      </c>
      <c r="D40" s="15">
        <v>0</v>
      </c>
      <c r="E40" s="15">
        <v>0</v>
      </c>
      <c r="F40" s="12" t="s">
        <v>5</v>
      </c>
      <c r="G40" s="18" t="s">
        <v>110</v>
      </c>
      <c r="H40" s="18" t="s">
        <v>110</v>
      </c>
      <c r="I40" s="15">
        <v>0</v>
      </c>
      <c r="J40" s="15">
        <v>0</v>
      </c>
      <c r="K40" s="15">
        <v>0</v>
      </c>
      <c r="L40" s="12" t="s">
        <v>110</v>
      </c>
    </row>
    <row r="41" spans="1:12">
      <c r="A41" s="16" t="s">
        <v>10</v>
      </c>
      <c r="B41" s="19">
        <v>45657</v>
      </c>
      <c r="C41" s="19">
        <v>45657</v>
      </c>
      <c r="D41" s="20">
        <v>0</v>
      </c>
      <c r="E41" s="20">
        <v>0</v>
      </c>
      <c r="F41" s="16" t="s">
        <v>26</v>
      </c>
      <c r="G41" s="21" t="s">
        <v>110</v>
      </c>
      <c r="H41" s="21" t="s">
        <v>110</v>
      </c>
      <c r="I41" s="20">
        <v>0</v>
      </c>
      <c r="J41" s="20">
        <v>0</v>
      </c>
      <c r="K41" s="20">
        <v>0</v>
      </c>
      <c r="L41" s="16" t="s">
        <v>110</v>
      </c>
    </row>
    <row r="42" spans="1:12">
      <c r="A42" s="12" t="s">
        <v>10</v>
      </c>
      <c r="B42" s="17">
        <v>45657</v>
      </c>
      <c r="C42" s="17">
        <v>45657</v>
      </c>
      <c r="D42" s="15">
        <v>0</v>
      </c>
      <c r="E42" s="15">
        <v>0</v>
      </c>
      <c r="F42" s="12" t="s">
        <v>7</v>
      </c>
      <c r="G42" s="18" t="s">
        <v>110</v>
      </c>
      <c r="H42" s="18" t="s">
        <v>110</v>
      </c>
      <c r="I42" s="15">
        <v>0</v>
      </c>
      <c r="J42" s="15">
        <v>0</v>
      </c>
      <c r="K42" s="15">
        <v>0</v>
      </c>
      <c r="L42" s="12" t="s">
        <v>110</v>
      </c>
    </row>
    <row r="43" spans="1:12">
      <c r="A43" s="16" t="s">
        <v>46</v>
      </c>
      <c r="B43" s="19">
        <v>45657</v>
      </c>
      <c r="C43" s="19">
        <v>45678</v>
      </c>
      <c r="D43" s="20">
        <v>21</v>
      </c>
      <c r="E43" s="20">
        <v>0</v>
      </c>
      <c r="F43" s="16" t="s">
        <v>17</v>
      </c>
      <c r="G43" s="21" t="s">
        <v>110</v>
      </c>
      <c r="H43" s="21" t="s">
        <v>110</v>
      </c>
      <c r="I43" s="20">
        <v>0</v>
      </c>
      <c r="J43" s="20">
        <v>0</v>
      </c>
      <c r="K43" s="20">
        <v>0</v>
      </c>
      <c r="L43" s="16" t="s">
        <v>110</v>
      </c>
    </row>
    <row r="44" spans="1:12">
      <c r="A44" s="12" t="s">
        <v>38</v>
      </c>
      <c r="B44" s="17">
        <v>45657</v>
      </c>
      <c r="C44" s="17" t="s">
        <v>110</v>
      </c>
      <c r="D44" s="15" t="e">
        <v>#N/A</v>
      </c>
      <c r="E44" s="15">
        <v>1</v>
      </c>
      <c r="F44" s="12" t="s">
        <v>19</v>
      </c>
      <c r="G44" s="18">
        <v>-105.03480340999999</v>
      </c>
      <c r="H44" s="18">
        <v>39.729818590000001</v>
      </c>
      <c r="I44" s="15">
        <v>1</v>
      </c>
      <c r="J44" s="15">
        <v>0</v>
      </c>
      <c r="K44" s="15">
        <v>0</v>
      </c>
      <c r="L44" s="12" t="s">
        <v>199</v>
      </c>
    </row>
    <row r="45" spans="1:12">
      <c r="A45" s="16" t="s">
        <v>33</v>
      </c>
      <c r="B45" s="19">
        <v>45657</v>
      </c>
      <c r="C45" s="19">
        <v>45667</v>
      </c>
      <c r="D45" s="20">
        <v>10</v>
      </c>
      <c r="E45" s="20">
        <v>0</v>
      </c>
      <c r="F45" s="16" t="s">
        <v>13</v>
      </c>
      <c r="G45" s="21">
        <v>-104.9442</v>
      </c>
      <c r="H45" s="21">
        <v>39.743775999999997</v>
      </c>
      <c r="I45" s="20">
        <v>1</v>
      </c>
      <c r="J45" s="20">
        <v>0</v>
      </c>
      <c r="K45" s="20">
        <v>0</v>
      </c>
      <c r="L45" s="16" t="s">
        <v>200</v>
      </c>
    </row>
    <row r="46" spans="1:12">
      <c r="A46" s="12" t="s">
        <v>46</v>
      </c>
      <c r="B46" s="17">
        <v>45657</v>
      </c>
      <c r="C46" s="17">
        <v>45657</v>
      </c>
      <c r="D46" s="15">
        <v>0</v>
      </c>
      <c r="E46" s="15">
        <v>0</v>
      </c>
      <c r="F46" s="12" t="s">
        <v>5</v>
      </c>
      <c r="G46" s="18" t="s">
        <v>110</v>
      </c>
      <c r="H46" s="18" t="s">
        <v>110</v>
      </c>
      <c r="I46" s="15">
        <v>0</v>
      </c>
      <c r="J46" s="15">
        <v>0</v>
      </c>
      <c r="K46" s="15">
        <v>0</v>
      </c>
      <c r="L46" s="12" t="s">
        <v>110</v>
      </c>
    </row>
    <row r="47" spans="1:12">
      <c r="A47" s="16" t="s">
        <v>46</v>
      </c>
      <c r="B47" s="19">
        <v>45657</v>
      </c>
      <c r="C47" s="19">
        <v>45687</v>
      </c>
      <c r="D47" s="20">
        <v>30</v>
      </c>
      <c r="E47" s="20">
        <v>0</v>
      </c>
      <c r="F47" s="16" t="s">
        <v>13</v>
      </c>
      <c r="G47" s="21">
        <v>-104.924031</v>
      </c>
      <c r="H47" s="21">
        <v>39.763793</v>
      </c>
      <c r="I47" s="20">
        <v>1</v>
      </c>
      <c r="J47" s="20">
        <v>0</v>
      </c>
      <c r="K47" s="20">
        <v>0</v>
      </c>
      <c r="L47" s="16" t="s">
        <v>201</v>
      </c>
    </row>
    <row r="48" spans="1:12">
      <c r="A48" s="12" t="s">
        <v>10</v>
      </c>
      <c r="B48" s="17">
        <v>45657</v>
      </c>
      <c r="C48" s="17">
        <v>45660</v>
      </c>
      <c r="D48" s="15">
        <v>3</v>
      </c>
      <c r="E48" s="15">
        <v>0</v>
      </c>
      <c r="F48" s="12" t="s">
        <v>5</v>
      </c>
      <c r="G48" s="18">
        <v>-105.05261471</v>
      </c>
      <c r="H48" s="18">
        <v>39.732876830000002</v>
      </c>
      <c r="I48" s="15">
        <v>1</v>
      </c>
      <c r="J48" s="15">
        <v>0</v>
      </c>
      <c r="K48" s="15">
        <v>0</v>
      </c>
      <c r="L48" s="12" t="s">
        <v>199</v>
      </c>
    </row>
    <row r="49" spans="1:12">
      <c r="A49" s="16" t="s">
        <v>4</v>
      </c>
      <c r="B49" s="19">
        <v>45657</v>
      </c>
      <c r="C49" s="19">
        <v>45657</v>
      </c>
      <c r="D49" s="20">
        <v>0</v>
      </c>
      <c r="E49" s="20">
        <v>0</v>
      </c>
      <c r="F49" s="16" t="s">
        <v>5</v>
      </c>
      <c r="G49" s="21">
        <v>-105.02553450000001</v>
      </c>
      <c r="H49" s="21">
        <v>39.728749350000001</v>
      </c>
      <c r="I49" s="20">
        <v>1</v>
      </c>
      <c r="J49" s="20">
        <v>0</v>
      </c>
      <c r="K49" s="20">
        <v>0</v>
      </c>
      <c r="L49" s="16" t="s">
        <v>199</v>
      </c>
    </row>
    <row r="50" spans="1:12">
      <c r="A50" s="12" t="s">
        <v>4</v>
      </c>
      <c r="B50" s="17">
        <v>45657</v>
      </c>
      <c r="C50" s="17">
        <v>45657</v>
      </c>
      <c r="D50" s="15">
        <v>0</v>
      </c>
      <c r="E50" s="15">
        <v>0</v>
      </c>
      <c r="F50" s="12" t="s">
        <v>5</v>
      </c>
      <c r="G50" s="18" t="s">
        <v>110</v>
      </c>
      <c r="H50" s="18" t="s">
        <v>110</v>
      </c>
      <c r="I50" s="15">
        <v>0</v>
      </c>
      <c r="J50" s="15">
        <v>0</v>
      </c>
      <c r="K50" s="15">
        <v>0</v>
      </c>
      <c r="L50" s="12" t="s">
        <v>110</v>
      </c>
    </row>
    <row r="51" spans="1:12">
      <c r="A51" s="16" t="s">
        <v>10</v>
      </c>
      <c r="B51" s="19">
        <v>45657</v>
      </c>
      <c r="C51" s="19">
        <v>45657</v>
      </c>
      <c r="D51" s="20">
        <v>0</v>
      </c>
      <c r="E51" s="20">
        <v>0</v>
      </c>
      <c r="F51" s="16" t="s">
        <v>9</v>
      </c>
      <c r="G51" s="21" t="s">
        <v>110</v>
      </c>
      <c r="H51" s="21" t="s">
        <v>110</v>
      </c>
      <c r="I51" s="20">
        <v>0</v>
      </c>
      <c r="J51" s="20">
        <v>0</v>
      </c>
      <c r="K51" s="20">
        <v>0</v>
      </c>
      <c r="L51" s="16" t="s">
        <v>110</v>
      </c>
    </row>
    <row r="52" spans="1:12">
      <c r="A52" s="12" t="s">
        <v>46</v>
      </c>
      <c r="B52" s="17">
        <v>45657</v>
      </c>
      <c r="C52" s="17">
        <v>45657</v>
      </c>
      <c r="D52" s="15">
        <v>0</v>
      </c>
      <c r="E52" s="15">
        <v>0</v>
      </c>
      <c r="F52" s="12" t="s">
        <v>26</v>
      </c>
      <c r="G52" s="18" t="s">
        <v>110</v>
      </c>
      <c r="H52" s="18" t="s">
        <v>110</v>
      </c>
      <c r="I52" s="15">
        <v>0</v>
      </c>
      <c r="J52" s="15">
        <v>0</v>
      </c>
      <c r="K52" s="15">
        <v>0</v>
      </c>
      <c r="L52" s="12" t="s">
        <v>110</v>
      </c>
    </row>
    <row r="53" spans="1:12">
      <c r="A53" s="16" t="s">
        <v>10</v>
      </c>
      <c r="B53" s="19">
        <v>45657</v>
      </c>
      <c r="C53" s="19">
        <v>45657</v>
      </c>
      <c r="D53" s="20">
        <v>0</v>
      </c>
      <c r="E53" s="20">
        <v>0</v>
      </c>
      <c r="F53" s="16" t="s">
        <v>96</v>
      </c>
      <c r="G53" s="21" t="s">
        <v>110</v>
      </c>
      <c r="H53" s="21" t="s">
        <v>110</v>
      </c>
      <c r="I53" s="20">
        <v>0</v>
      </c>
      <c r="J53" s="20">
        <v>0</v>
      </c>
      <c r="K53" s="20">
        <v>0</v>
      </c>
      <c r="L53" s="16" t="s">
        <v>110</v>
      </c>
    </row>
    <row r="54" spans="1:12">
      <c r="A54" s="12" t="s">
        <v>46</v>
      </c>
      <c r="B54" s="17">
        <v>45657</v>
      </c>
      <c r="C54" s="17">
        <v>45657</v>
      </c>
      <c r="D54" s="15">
        <v>0</v>
      </c>
      <c r="E54" s="15">
        <v>0</v>
      </c>
      <c r="F54" s="12" t="s">
        <v>13</v>
      </c>
      <c r="G54" s="18" t="s">
        <v>110</v>
      </c>
      <c r="H54" s="18" t="s">
        <v>110</v>
      </c>
      <c r="I54" s="15">
        <v>0</v>
      </c>
      <c r="J54" s="15">
        <v>0</v>
      </c>
      <c r="K54" s="15">
        <v>0</v>
      </c>
      <c r="L54" s="12" t="s">
        <v>110</v>
      </c>
    </row>
    <row r="55" spans="1:12">
      <c r="A55" s="16" t="s">
        <v>46</v>
      </c>
      <c r="B55" s="19">
        <v>45657</v>
      </c>
      <c r="C55" s="19">
        <v>45657</v>
      </c>
      <c r="D55" s="20">
        <v>0</v>
      </c>
      <c r="E55" s="20">
        <v>0</v>
      </c>
      <c r="F55" s="16" t="s">
        <v>13</v>
      </c>
      <c r="G55" s="21" t="s">
        <v>110</v>
      </c>
      <c r="H55" s="21" t="s">
        <v>110</v>
      </c>
      <c r="I55" s="20">
        <v>0</v>
      </c>
      <c r="J55" s="20">
        <v>0</v>
      </c>
      <c r="K55" s="20">
        <v>0</v>
      </c>
      <c r="L55" s="16" t="s">
        <v>110</v>
      </c>
    </row>
    <row r="56" spans="1:12">
      <c r="A56" s="12" t="s">
        <v>4</v>
      </c>
      <c r="B56" s="17">
        <v>45657</v>
      </c>
      <c r="C56" s="17">
        <v>45657</v>
      </c>
      <c r="D56" s="15">
        <v>0</v>
      </c>
      <c r="E56" s="15">
        <v>0</v>
      </c>
      <c r="F56" s="12" t="s">
        <v>17</v>
      </c>
      <c r="G56" s="18" t="s">
        <v>110</v>
      </c>
      <c r="H56" s="18" t="s">
        <v>110</v>
      </c>
      <c r="I56" s="15">
        <v>0</v>
      </c>
      <c r="J56" s="15">
        <v>0</v>
      </c>
      <c r="K56" s="15">
        <v>0</v>
      </c>
      <c r="L56" s="12" t="s">
        <v>110</v>
      </c>
    </row>
    <row r="57" spans="1:12">
      <c r="A57" s="16" t="s">
        <v>10</v>
      </c>
      <c r="B57" s="19">
        <v>45657</v>
      </c>
      <c r="C57" s="19">
        <v>45657</v>
      </c>
      <c r="D57" s="20">
        <v>0</v>
      </c>
      <c r="E57" s="20">
        <v>0</v>
      </c>
      <c r="F57" s="16" t="s">
        <v>7</v>
      </c>
      <c r="G57" s="21" t="s">
        <v>110</v>
      </c>
      <c r="H57" s="21" t="s">
        <v>110</v>
      </c>
      <c r="I57" s="20">
        <v>0</v>
      </c>
      <c r="J57" s="20">
        <v>0</v>
      </c>
      <c r="K57" s="20">
        <v>0</v>
      </c>
      <c r="L57" s="16" t="s">
        <v>110</v>
      </c>
    </row>
    <row r="58" spans="1:12">
      <c r="A58" s="12" t="s">
        <v>46</v>
      </c>
      <c r="B58" s="17">
        <v>45657</v>
      </c>
      <c r="C58" s="17">
        <v>45658</v>
      </c>
      <c r="D58" s="15">
        <v>1</v>
      </c>
      <c r="E58" s="15">
        <v>0</v>
      </c>
      <c r="F58" s="12" t="s">
        <v>17</v>
      </c>
      <c r="G58" s="18" t="s">
        <v>110</v>
      </c>
      <c r="H58" s="18" t="s">
        <v>110</v>
      </c>
      <c r="I58" s="15">
        <v>0</v>
      </c>
      <c r="J58" s="15">
        <v>0</v>
      </c>
      <c r="K58" s="15">
        <v>0</v>
      </c>
      <c r="L58" s="12" t="s">
        <v>110</v>
      </c>
    </row>
    <row r="59" spans="1:12">
      <c r="A59" s="16" t="s">
        <v>46</v>
      </c>
      <c r="B59" s="19">
        <v>45657</v>
      </c>
      <c r="C59" s="19">
        <v>45657</v>
      </c>
      <c r="D59" s="20">
        <v>0</v>
      </c>
      <c r="E59" s="20">
        <v>0</v>
      </c>
      <c r="F59" s="16" t="s">
        <v>5</v>
      </c>
      <c r="G59" s="21" t="s">
        <v>110</v>
      </c>
      <c r="H59" s="21" t="s">
        <v>110</v>
      </c>
      <c r="I59" s="20">
        <v>0</v>
      </c>
      <c r="J59" s="20">
        <v>0</v>
      </c>
      <c r="K59" s="20">
        <v>0</v>
      </c>
      <c r="L59" s="16" t="s">
        <v>110</v>
      </c>
    </row>
    <row r="60" spans="1:12">
      <c r="A60" s="12" t="s">
        <v>46</v>
      </c>
      <c r="B60" s="17">
        <v>45657</v>
      </c>
      <c r="C60" s="17">
        <v>45657</v>
      </c>
      <c r="D60" s="15">
        <v>0</v>
      </c>
      <c r="E60" s="15">
        <v>0</v>
      </c>
      <c r="F60" s="12" t="s">
        <v>5</v>
      </c>
      <c r="G60" s="18" t="s">
        <v>110</v>
      </c>
      <c r="H60" s="18" t="s">
        <v>110</v>
      </c>
      <c r="I60" s="15">
        <v>0</v>
      </c>
      <c r="J60" s="15">
        <v>0</v>
      </c>
      <c r="K60" s="15">
        <v>0</v>
      </c>
      <c r="L60" s="12" t="s">
        <v>110</v>
      </c>
    </row>
    <row r="61" spans="1:12">
      <c r="A61" s="16" t="s">
        <v>46</v>
      </c>
      <c r="B61" s="19">
        <v>45657</v>
      </c>
      <c r="C61" s="19">
        <v>45657</v>
      </c>
      <c r="D61" s="20">
        <v>0</v>
      </c>
      <c r="E61" s="20">
        <v>0</v>
      </c>
      <c r="F61" s="16" t="s">
        <v>5</v>
      </c>
      <c r="G61" s="21" t="s">
        <v>110</v>
      </c>
      <c r="H61" s="21" t="s">
        <v>110</v>
      </c>
      <c r="I61" s="20">
        <v>0</v>
      </c>
      <c r="J61" s="20">
        <v>0</v>
      </c>
      <c r="K61" s="20">
        <v>0</v>
      </c>
      <c r="L61" s="16" t="s">
        <v>110</v>
      </c>
    </row>
    <row r="62" spans="1:12">
      <c r="A62" s="12" t="s">
        <v>46</v>
      </c>
      <c r="B62" s="17">
        <v>45657</v>
      </c>
      <c r="C62" s="17">
        <v>45657</v>
      </c>
      <c r="D62" s="15">
        <v>0</v>
      </c>
      <c r="E62" s="15">
        <v>0</v>
      </c>
      <c r="F62" s="12" t="s">
        <v>9</v>
      </c>
      <c r="G62" s="18">
        <v>-104.88670766</v>
      </c>
      <c r="H62" s="18">
        <v>39.737589829999997</v>
      </c>
      <c r="I62" s="15">
        <v>1</v>
      </c>
      <c r="J62" s="15">
        <v>0</v>
      </c>
      <c r="K62" s="15">
        <v>0</v>
      </c>
      <c r="L62" s="12" t="s">
        <v>201</v>
      </c>
    </row>
    <row r="63" spans="1:12">
      <c r="A63" s="16" t="s">
        <v>46</v>
      </c>
      <c r="B63" s="19">
        <v>45657</v>
      </c>
      <c r="C63" s="19">
        <v>45657</v>
      </c>
      <c r="D63" s="20">
        <v>0</v>
      </c>
      <c r="E63" s="20">
        <v>0</v>
      </c>
      <c r="F63" s="16" t="s">
        <v>5</v>
      </c>
      <c r="G63" s="21" t="s">
        <v>110</v>
      </c>
      <c r="H63" s="21" t="s">
        <v>110</v>
      </c>
      <c r="I63" s="20">
        <v>0</v>
      </c>
      <c r="J63" s="20">
        <v>0</v>
      </c>
      <c r="K63" s="20">
        <v>0</v>
      </c>
      <c r="L63" s="16" t="s">
        <v>110</v>
      </c>
    </row>
    <row r="64" spans="1:12">
      <c r="A64" s="12" t="s">
        <v>38</v>
      </c>
      <c r="B64" s="17">
        <v>45657</v>
      </c>
      <c r="C64" s="17" t="s">
        <v>110</v>
      </c>
      <c r="D64" s="15" t="e">
        <v>#N/A</v>
      </c>
      <c r="E64" s="15">
        <v>1</v>
      </c>
      <c r="F64" s="12" t="s">
        <v>19</v>
      </c>
      <c r="G64" s="18">
        <v>-105.03350464</v>
      </c>
      <c r="H64" s="18">
        <v>39.728169710000003</v>
      </c>
      <c r="I64" s="15">
        <v>1</v>
      </c>
      <c r="J64" s="15">
        <v>0</v>
      </c>
      <c r="K64" s="15">
        <v>0</v>
      </c>
      <c r="L64" s="12" t="s">
        <v>110</v>
      </c>
    </row>
    <row r="65" spans="1:12">
      <c r="A65" s="16" t="s">
        <v>46</v>
      </c>
      <c r="B65" s="19">
        <v>45657</v>
      </c>
      <c r="C65" s="19">
        <v>45657</v>
      </c>
      <c r="D65" s="20">
        <v>0</v>
      </c>
      <c r="E65" s="20">
        <v>0</v>
      </c>
      <c r="F65" s="16" t="s">
        <v>5</v>
      </c>
      <c r="G65" s="21" t="s">
        <v>110</v>
      </c>
      <c r="H65" s="21" t="s">
        <v>110</v>
      </c>
      <c r="I65" s="20">
        <v>0</v>
      </c>
      <c r="J65" s="20">
        <v>0</v>
      </c>
      <c r="K65" s="20">
        <v>0</v>
      </c>
      <c r="L65" s="16" t="s">
        <v>110</v>
      </c>
    </row>
    <row r="66" spans="1:12">
      <c r="A66" s="12" t="s">
        <v>10</v>
      </c>
      <c r="B66" s="17">
        <v>45657</v>
      </c>
      <c r="C66" s="17">
        <v>45657</v>
      </c>
      <c r="D66" s="15">
        <v>0</v>
      </c>
      <c r="E66" s="15">
        <v>0</v>
      </c>
      <c r="F66" s="12" t="s">
        <v>22</v>
      </c>
      <c r="G66" s="18" t="s">
        <v>110</v>
      </c>
      <c r="H66" s="18" t="s">
        <v>110</v>
      </c>
      <c r="I66" s="15">
        <v>0</v>
      </c>
      <c r="J66" s="15">
        <v>0</v>
      </c>
      <c r="K66" s="15">
        <v>0</v>
      </c>
      <c r="L66" s="12" t="s">
        <v>110</v>
      </c>
    </row>
    <row r="67" spans="1:12">
      <c r="A67" s="16" t="s">
        <v>10</v>
      </c>
      <c r="B67" s="19">
        <v>45657</v>
      </c>
      <c r="C67" s="19">
        <v>45657</v>
      </c>
      <c r="D67" s="20">
        <v>0</v>
      </c>
      <c r="E67" s="20">
        <v>0</v>
      </c>
      <c r="F67" s="16" t="s">
        <v>96</v>
      </c>
      <c r="G67" s="21" t="s">
        <v>110</v>
      </c>
      <c r="H67" s="21" t="s">
        <v>110</v>
      </c>
      <c r="I67" s="20">
        <v>0</v>
      </c>
      <c r="J67" s="20">
        <v>0</v>
      </c>
      <c r="K67" s="20">
        <v>0</v>
      </c>
      <c r="L67" s="16" t="s">
        <v>110</v>
      </c>
    </row>
    <row r="68" spans="1:12">
      <c r="A68" s="12" t="s">
        <v>10</v>
      </c>
      <c r="B68" s="17">
        <v>45657</v>
      </c>
      <c r="C68" s="17">
        <v>45657</v>
      </c>
      <c r="D68" s="15">
        <v>0</v>
      </c>
      <c r="E68" s="15">
        <v>0</v>
      </c>
      <c r="F68" s="12" t="s">
        <v>13</v>
      </c>
      <c r="G68" s="18" t="s">
        <v>110</v>
      </c>
      <c r="H68" s="18" t="s">
        <v>110</v>
      </c>
      <c r="I68" s="15">
        <v>0</v>
      </c>
      <c r="J68" s="15">
        <v>0</v>
      </c>
      <c r="K68" s="15">
        <v>0</v>
      </c>
      <c r="L68" s="12" t="s">
        <v>110</v>
      </c>
    </row>
    <row r="69" spans="1:12">
      <c r="A69" s="16" t="s">
        <v>46</v>
      </c>
      <c r="B69" s="19">
        <v>45657</v>
      </c>
      <c r="C69" s="19">
        <v>45657</v>
      </c>
      <c r="D69" s="20">
        <v>0</v>
      </c>
      <c r="E69" s="20">
        <v>0</v>
      </c>
      <c r="F69" s="16" t="s">
        <v>5</v>
      </c>
      <c r="G69" s="21">
        <v>-105.03795443999999</v>
      </c>
      <c r="H69" s="21">
        <v>39.757881589999997</v>
      </c>
      <c r="I69" s="20">
        <v>1</v>
      </c>
      <c r="J69" s="20">
        <v>0</v>
      </c>
      <c r="K69" s="20">
        <v>0</v>
      </c>
      <c r="L69" s="16" t="s">
        <v>202</v>
      </c>
    </row>
    <row r="70" spans="1:12">
      <c r="A70" s="12" t="s">
        <v>46</v>
      </c>
      <c r="B70" s="17">
        <v>45657</v>
      </c>
      <c r="C70" s="17">
        <v>45657</v>
      </c>
      <c r="D70" s="15">
        <v>0</v>
      </c>
      <c r="E70" s="15">
        <v>0</v>
      </c>
      <c r="F70" s="12" t="s">
        <v>17</v>
      </c>
      <c r="G70" s="18" t="s">
        <v>110</v>
      </c>
      <c r="H70" s="18" t="s">
        <v>110</v>
      </c>
      <c r="I70" s="15">
        <v>0</v>
      </c>
      <c r="J70" s="15">
        <v>0</v>
      </c>
      <c r="K70" s="15">
        <v>0</v>
      </c>
      <c r="L70" s="12" t="s">
        <v>110</v>
      </c>
    </row>
    <row r="71" spans="1:12">
      <c r="A71" s="16" t="s">
        <v>46</v>
      </c>
      <c r="B71" s="19">
        <v>45657</v>
      </c>
      <c r="C71" s="19">
        <v>45657</v>
      </c>
      <c r="D71" s="20">
        <v>0</v>
      </c>
      <c r="E71" s="20">
        <v>0</v>
      </c>
      <c r="F71" s="16" t="s">
        <v>13</v>
      </c>
      <c r="G71" s="21" t="s">
        <v>110</v>
      </c>
      <c r="H71" s="21" t="s">
        <v>110</v>
      </c>
      <c r="I71" s="20">
        <v>0</v>
      </c>
      <c r="J71" s="20">
        <v>0</v>
      </c>
      <c r="K71" s="20">
        <v>0</v>
      </c>
      <c r="L71" s="16" t="s">
        <v>110</v>
      </c>
    </row>
    <row r="72" spans="1:12">
      <c r="A72" s="12" t="s">
        <v>4</v>
      </c>
      <c r="B72" s="17">
        <v>45657</v>
      </c>
      <c r="C72" s="17">
        <v>45657</v>
      </c>
      <c r="D72" s="15">
        <v>0</v>
      </c>
      <c r="E72" s="15">
        <v>0</v>
      </c>
      <c r="F72" s="12" t="s">
        <v>5</v>
      </c>
      <c r="G72" s="18" t="s">
        <v>110</v>
      </c>
      <c r="H72" s="18" t="s">
        <v>110</v>
      </c>
      <c r="I72" s="15">
        <v>0</v>
      </c>
      <c r="J72" s="15">
        <v>0</v>
      </c>
      <c r="K72" s="15">
        <v>0</v>
      </c>
      <c r="L72" s="12" t="s">
        <v>110</v>
      </c>
    </row>
    <row r="73" spans="1:12">
      <c r="A73" s="16" t="s">
        <v>46</v>
      </c>
      <c r="B73" s="19">
        <v>45657</v>
      </c>
      <c r="C73" s="19">
        <v>45657</v>
      </c>
      <c r="D73" s="20">
        <v>0</v>
      </c>
      <c r="E73" s="20">
        <v>0</v>
      </c>
      <c r="F73" s="16" t="s">
        <v>17</v>
      </c>
      <c r="G73" s="21" t="s">
        <v>110</v>
      </c>
      <c r="H73" s="21" t="s">
        <v>110</v>
      </c>
      <c r="I73" s="20">
        <v>0</v>
      </c>
      <c r="J73" s="20">
        <v>0</v>
      </c>
      <c r="K73" s="20">
        <v>0</v>
      </c>
      <c r="L73" s="16" t="s">
        <v>110</v>
      </c>
    </row>
    <row r="74" spans="1:12">
      <c r="A74" s="12" t="s">
        <v>46</v>
      </c>
      <c r="B74" s="17">
        <v>45657</v>
      </c>
      <c r="C74" s="17">
        <v>45667</v>
      </c>
      <c r="D74" s="15">
        <v>10</v>
      </c>
      <c r="E74" s="15">
        <v>0</v>
      </c>
      <c r="F74" s="12" t="s">
        <v>17</v>
      </c>
      <c r="G74" s="18" t="s">
        <v>110</v>
      </c>
      <c r="H74" s="18" t="s">
        <v>110</v>
      </c>
      <c r="I74" s="15">
        <v>0</v>
      </c>
      <c r="J74" s="15">
        <v>0</v>
      </c>
      <c r="K74" s="15">
        <v>0</v>
      </c>
      <c r="L74" s="12" t="s">
        <v>110</v>
      </c>
    </row>
    <row r="75" spans="1:12">
      <c r="A75" s="16" t="s">
        <v>46</v>
      </c>
      <c r="B75" s="19">
        <v>45657</v>
      </c>
      <c r="C75" s="19">
        <v>45657</v>
      </c>
      <c r="D75" s="20">
        <v>0</v>
      </c>
      <c r="E75" s="20">
        <v>0</v>
      </c>
      <c r="F75" s="16" t="s">
        <v>96</v>
      </c>
      <c r="G75" s="21" t="s">
        <v>110</v>
      </c>
      <c r="H75" s="21" t="s">
        <v>110</v>
      </c>
      <c r="I75" s="20">
        <v>0</v>
      </c>
      <c r="J75" s="20">
        <v>0</v>
      </c>
      <c r="K75" s="20">
        <v>0</v>
      </c>
      <c r="L75" s="16" t="s">
        <v>110</v>
      </c>
    </row>
    <row r="76" spans="1:12">
      <c r="A76" s="12" t="s">
        <v>46</v>
      </c>
      <c r="B76" s="17">
        <v>45657</v>
      </c>
      <c r="C76" s="17">
        <v>45657</v>
      </c>
      <c r="D76" s="15">
        <v>0</v>
      </c>
      <c r="E76" s="15">
        <v>0</v>
      </c>
      <c r="F76" s="12" t="s">
        <v>5</v>
      </c>
      <c r="G76" s="18" t="s">
        <v>110</v>
      </c>
      <c r="H76" s="18" t="s">
        <v>110</v>
      </c>
      <c r="I76" s="15">
        <v>0</v>
      </c>
      <c r="J76" s="15">
        <v>0</v>
      </c>
      <c r="K76" s="15">
        <v>0</v>
      </c>
      <c r="L76" s="12" t="s">
        <v>110</v>
      </c>
    </row>
    <row r="77" spans="1:12">
      <c r="A77" s="16" t="s">
        <v>4</v>
      </c>
      <c r="B77" s="19">
        <v>45657</v>
      </c>
      <c r="C77" s="19">
        <v>45657</v>
      </c>
      <c r="D77" s="20">
        <v>0</v>
      </c>
      <c r="E77" s="20">
        <v>0</v>
      </c>
      <c r="F77" s="16" t="s">
        <v>5</v>
      </c>
      <c r="G77" s="21" t="s">
        <v>110</v>
      </c>
      <c r="H77" s="21" t="s">
        <v>110</v>
      </c>
      <c r="I77" s="20">
        <v>0</v>
      </c>
      <c r="J77" s="20">
        <v>0</v>
      </c>
      <c r="K77" s="20">
        <v>0</v>
      </c>
      <c r="L77" s="16" t="s">
        <v>110</v>
      </c>
    </row>
    <row r="78" spans="1:12">
      <c r="A78" s="12" t="s">
        <v>46</v>
      </c>
      <c r="B78" s="17">
        <v>45657</v>
      </c>
      <c r="C78" s="17">
        <v>45657</v>
      </c>
      <c r="D78" s="15">
        <v>0</v>
      </c>
      <c r="E78" s="15">
        <v>0</v>
      </c>
      <c r="F78" s="12" t="s">
        <v>13</v>
      </c>
      <c r="G78" s="18" t="s">
        <v>110</v>
      </c>
      <c r="H78" s="18" t="s">
        <v>110</v>
      </c>
      <c r="I78" s="15">
        <v>0</v>
      </c>
      <c r="J78" s="15">
        <v>0</v>
      </c>
      <c r="K78" s="15">
        <v>0</v>
      </c>
      <c r="L78" s="12" t="s">
        <v>110</v>
      </c>
    </row>
    <row r="79" spans="1:12">
      <c r="A79" s="16" t="s">
        <v>10</v>
      </c>
      <c r="B79" s="19">
        <v>45657</v>
      </c>
      <c r="C79" s="19">
        <v>45657</v>
      </c>
      <c r="D79" s="20">
        <v>0</v>
      </c>
      <c r="E79" s="20">
        <v>0</v>
      </c>
      <c r="F79" s="16" t="s">
        <v>7</v>
      </c>
      <c r="G79" s="21" t="s">
        <v>110</v>
      </c>
      <c r="H79" s="21" t="s">
        <v>110</v>
      </c>
      <c r="I79" s="20">
        <v>0</v>
      </c>
      <c r="J79" s="20">
        <v>0</v>
      </c>
      <c r="K79" s="20">
        <v>0</v>
      </c>
      <c r="L79" s="16" t="s">
        <v>110</v>
      </c>
    </row>
    <row r="80" spans="1:12">
      <c r="A80" s="12" t="s">
        <v>10</v>
      </c>
      <c r="B80" s="17">
        <v>45657</v>
      </c>
      <c r="C80" s="17">
        <v>45657</v>
      </c>
      <c r="D80" s="15">
        <v>0</v>
      </c>
      <c r="E80" s="15">
        <v>0</v>
      </c>
      <c r="F80" s="12" t="s">
        <v>7</v>
      </c>
      <c r="G80" s="18" t="s">
        <v>110</v>
      </c>
      <c r="H80" s="18" t="s">
        <v>110</v>
      </c>
      <c r="I80" s="15">
        <v>0</v>
      </c>
      <c r="J80" s="15">
        <v>0</v>
      </c>
      <c r="K80" s="15">
        <v>0</v>
      </c>
      <c r="L80" s="12" t="s">
        <v>110</v>
      </c>
    </row>
    <row r="81" spans="1:12">
      <c r="A81" s="16" t="s">
        <v>10</v>
      </c>
      <c r="B81" s="19">
        <v>45657</v>
      </c>
      <c r="C81" s="19">
        <v>45658</v>
      </c>
      <c r="D81" s="20">
        <v>1</v>
      </c>
      <c r="E81" s="20">
        <v>0</v>
      </c>
      <c r="F81" s="16" t="s">
        <v>5</v>
      </c>
      <c r="G81" s="21">
        <v>-104.96862547000001</v>
      </c>
      <c r="H81" s="21">
        <v>39.744631460000001</v>
      </c>
      <c r="I81" s="20">
        <v>1</v>
      </c>
      <c r="J81" s="20">
        <v>0</v>
      </c>
      <c r="K81" s="20">
        <v>0</v>
      </c>
      <c r="L81" s="16" t="s">
        <v>110</v>
      </c>
    </row>
    <row r="82" spans="1:12">
      <c r="A82" s="12" t="s">
        <v>10</v>
      </c>
      <c r="B82" s="17">
        <v>45657</v>
      </c>
      <c r="C82" s="17">
        <v>45657</v>
      </c>
      <c r="D82" s="15">
        <v>0</v>
      </c>
      <c r="E82" s="15">
        <v>0</v>
      </c>
      <c r="F82" s="12" t="s">
        <v>13</v>
      </c>
      <c r="G82" s="18" t="s">
        <v>110</v>
      </c>
      <c r="H82" s="18" t="s">
        <v>110</v>
      </c>
      <c r="I82" s="15">
        <v>0</v>
      </c>
      <c r="J82" s="15">
        <v>0</v>
      </c>
      <c r="K82" s="15">
        <v>0</v>
      </c>
      <c r="L82" s="12" t="s">
        <v>110</v>
      </c>
    </row>
    <row r="83" spans="1:12">
      <c r="A83" s="16" t="s">
        <v>11</v>
      </c>
      <c r="B83" s="19">
        <v>45657</v>
      </c>
      <c r="C83" s="19">
        <v>45659</v>
      </c>
      <c r="D83" s="20">
        <v>2</v>
      </c>
      <c r="E83" s="20">
        <v>0</v>
      </c>
      <c r="F83" s="16" t="s">
        <v>17</v>
      </c>
      <c r="G83" s="21">
        <v>-104.99904311</v>
      </c>
      <c r="H83" s="21">
        <v>39.726703239999999</v>
      </c>
      <c r="I83" s="20">
        <v>1</v>
      </c>
      <c r="J83" s="20">
        <v>0</v>
      </c>
      <c r="K83" s="20">
        <v>0</v>
      </c>
      <c r="L83" s="16" t="s">
        <v>199</v>
      </c>
    </row>
    <row r="84" spans="1:12">
      <c r="A84" s="12" t="s">
        <v>11</v>
      </c>
      <c r="B84" s="17">
        <v>45657</v>
      </c>
      <c r="C84" s="17">
        <v>45657</v>
      </c>
      <c r="D84" s="15">
        <v>0</v>
      </c>
      <c r="E84" s="15">
        <v>0</v>
      </c>
      <c r="F84" s="12" t="s">
        <v>5</v>
      </c>
      <c r="G84" s="18" t="s">
        <v>110</v>
      </c>
      <c r="H84" s="18" t="s">
        <v>110</v>
      </c>
      <c r="I84" s="15">
        <v>0</v>
      </c>
      <c r="J84" s="15">
        <v>0</v>
      </c>
      <c r="K84" s="15">
        <v>0</v>
      </c>
      <c r="L84" s="12" t="s">
        <v>110</v>
      </c>
    </row>
    <row r="85" spans="1:12">
      <c r="A85" s="16" t="s">
        <v>46</v>
      </c>
      <c r="B85" s="19">
        <v>45657</v>
      </c>
      <c r="C85" s="19">
        <v>45678</v>
      </c>
      <c r="D85" s="20">
        <v>21</v>
      </c>
      <c r="E85" s="20">
        <v>0</v>
      </c>
      <c r="F85" s="16" t="s">
        <v>17</v>
      </c>
      <c r="G85" s="21" t="s">
        <v>110</v>
      </c>
      <c r="H85" s="21" t="s">
        <v>110</v>
      </c>
      <c r="I85" s="20">
        <v>0</v>
      </c>
      <c r="J85" s="20">
        <v>0</v>
      </c>
      <c r="K85" s="20">
        <v>0</v>
      </c>
      <c r="L85" s="16" t="s">
        <v>110</v>
      </c>
    </row>
    <row r="86" spans="1:12">
      <c r="A86" s="12" t="s">
        <v>11</v>
      </c>
      <c r="B86" s="17">
        <v>45657</v>
      </c>
      <c r="C86" s="17">
        <v>45678</v>
      </c>
      <c r="D86" s="15">
        <v>21</v>
      </c>
      <c r="E86" s="15">
        <v>0</v>
      </c>
      <c r="F86" s="12" t="s">
        <v>17</v>
      </c>
      <c r="G86" s="18">
        <v>-105.03243558</v>
      </c>
      <c r="H86" s="18">
        <v>39.698334500000001</v>
      </c>
      <c r="I86" s="15">
        <v>1</v>
      </c>
      <c r="J86" s="15">
        <v>0</v>
      </c>
      <c r="K86" s="15">
        <v>0</v>
      </c>
      <c r="L86" s="12" t="s">
        <v>199</v>
      </c>
    </row>
    <row r="87" spans="1:12">
      <c r="A87" s="16" t="s">
        <v>10</v>
      </c>
      <c r="B87" s="19">
        <v>45657</v>
      </c>
      <c r="C87" s="19">
        <v>45657</v>
      </c>
      <c r="D87" s="20">
        <v>0</v>
      </c>
      <c r="E87" s="20">
        <v>0</v>
      </c>
      <c r="F87" s="16" t="s">
        <v>7</v>
      </c>
      <c r="G87" s="21" t="s">
        <v>110</v>
      </c>
      <c r="H87" s="21" t="s">
        <v>110</v>
      </c>
      <c r="I87" s="20">
        <v>0</v>
      </c>
      <c r="J87" s="20">
        <v>0</v>
      </c>
      <c r="K87" s="20">
        <v>0</v>
      </c>
      <c r="L87" s="16" t="s">
        <v>110</v>
      </c>
    </row>
    <row r="88" spans="1:12">
      <c r="A88" s="12" t="s">
        <v>46</v>
      </c>
      <c r="B88" s="17">
        <v>45657</v>
      </c>
      <c r="C88" s="17">
        <v>45657</v>
      </c>
      <c r="D88" s="15">
        <v>0</v>
      </c>
      <c r="E88" s="15">
        <v>0</v>
      </c>
      <c r="F88" s="12" t="s">
        <v>13</v>
      </c>
      <c r="G88" s="18" t="s">
        <v>110</v>
      </c>
      <c r="H88" s="18" t="s">
        <v>110</v>
      </c>
      <c r="I88" s="15">
        <v>0</v>
      </c>
      <c r="J88" s="15">
        <v>0</v>
      </c>
      <c r="K88" s="15">
        <v>0</v>
      </c>
      <c r="L88" s="12" t="s">
        <v>110</v>
      </c>
    </row>
    <row r="89" spans="1:12">
      <c r="A89" s="16" t="s">
        <v>10</v>
      </c>
      <c r="B89" s="19">
        <v>45657</v>
      </c>
      <c r="C89" s="19">
        <v>45657</v>
      </c>
      <c r="D89" s="20">
        <v>0</v>
      </c>
      <c r="E89" s="20">
        <v>0</v>
      </c>
      <c r="F89" s="16" t="s">
        <v>96</v>
      </c>
      <c r="G89" s="21" t="s">
        <v>110</v>
      </c>
      <c r="H89" s="21" t="s">
        <v>110</v>
      </c>
      <c r="I89" s="20">
        <v>0</v>
      </c>
      <c r="J89" s="20">
        <v>0</v>
      </c>
      <c r="K89" s="20">
        <v>0</v>
      </c>
      <c r="L89" s="16" t="s">
        <v>110</v>
      </c>
    </row>
    <row r="90" spans="1:12">
      <c r="A90" s="12" t="s">
        <v>10</v>
      </c>
      <c r="B90" s="17">
        <v>45657</v>
      </c>
      <c r="C90" s="17">
        <v>45657</v>
      </c>
      <c r="D90" s="15">
        <v>0</v>
      </c>
      <c r="E90" s="15">
        <v>0</v>
      </c>
      <c r="F90" s="12" t="s">
        <v>7</v>
      </c>
      <c r="G90" s="18" t="s">
        <v>110</v>
      </c>
      <c r="H90" s="18" t="s">
        <v>110</v>
      </c>
      <c r="I90" s="15">
        <v>0</v>
      </c>
      <c r="J90" s="15">
        <v>0</v>
      </c>
      <c r="K90" s="15">
        <v>0</v>
      </c>
      <c r="L90" s="12" t="s">
        <v>110</v>
      </c>
    </row>
    <row r="91" spans="1:12">
      <c r="A91" s="16" t="s">
        <v>27</v>
      </c>
      <c r="B91" s="19">
        <v>45657</v>
      </c>
      <c r="C91" s="19">
        <v>45657</v>
      </c>
      <c r="D91" s="20">
        <v>0</v>
      </c>
      <c r="E91" s="20">
        <v>0</v>
      </c>
      <c r="F91" s="16" t="s">
        <v>26</v>
      </c>
      <c r="G91" s="21" t="s">
        <v>110</v>
      </c>
      <c r="H91" s="21" t="s">
        <v>110</v>
      </c>
      <c r="I91" s="20">
        <v>0</v>
      </c>
      <c r="J91" s="20">
        <v>0</v>
      </c>
      <c r="K91" s="20">
        <v>0</v>
      </c>
      <c r="L91" s="16" t="s">
        <v>110</v>
      </c>
    </row>
    <row r="92" spans="1:12">
      <c r="A92" s="12" t="s">
        <v>46</v>
      </c>
      <c r="B92" s="17">
        <v>45657</v>
      </c>
      <c r="C92" s="17">
        <v>45657</v>
      </c>
      <c r="D92" s="15">
        <v>0</v>
      </c>
      <c r="E92" s="15">
        <v>0</v>
      </c>
      <c r="F92" s="12" t="s">
        <v>7</v>
      </c>
      <c r="G92" s="18" t="s">
        <v>110</v>
      </c>
      <c r="H92" s="18" t="s">
        <v>110</v>
      </c>
      <c r="I92" s="15">
        <v>0</v>
      </c>
      <c r="J92" s="15">
        <v>0</v>
      </c>
      <c r="K92" s="15">
        <v>0</v>
      </c>
      <c r="L92" s="12" t="s">
        <v>110</v>
      </c>
    </row>
    <row r="93" spans="1:12">
      <c r="A93" s="16" t="s">
        <v>46</v>
      </c>
      <c r="B93" s="19">
        <v>45657</v>
      </c>
      <c r="C93" s="19">
        <v>45657</v>
      </c>
      <c r="D93" s="20">
        <v>0</v>
      </c>
      <c r="E93" s="20">
        <v>0</v>
      </c>
      <c r="F93" s="16" t="s">
        <v>5</v>
      </c>
      <c r="G93" s="21" t="s">
        <v>110</v>
      </c>
      <c r="H93" s="21" t="s">
        <v>110</v>
      </c>
      <c r="I93" s="20">
        <v>0</v>
      </c>
      <c r="J93" s="20">
        <v>0</v>
      </c>
      <c r="K93" s="20">
        <v>0</v>
      </c>
      <c r="L93" s="16" t="s">
        <v>110</v>
      </c>
    </row>
    <row r="94" spans="1:12">
      <c r="A94" s="12" t="s">
        <v>111</v>
      </c>
      <c r="B94" s="17">
        <v>45657</v>
      </c>
      <c r="C94" s="17">
        <v>45663</v>
      </c>
      <c r="D94" s="15">
        <v>6</v>
      </c>
      <c r="E94" s="15">
        <v>0</v>
      </c>
      <c r="F94" s="12" t="s">
        <v>13</v>
      </c>
      <c r="G94" s="18">
        <v>-104.94068</v>
      </c>
      <c r="H94" s="18">
        <v>39.668329999999997</v>
      </c>
      <c r="I94" s="15">
        <v>1</v>
      </c>
      <c r="J94" s="15">
        <v>0</v>
      </c>
      <c r="K94" s="15">
        <v>0</v>
      </c>
      <c r="L94" s="12" t="s">
        <v>203</v>
      </c>
    </row>
    <row r="95" spans="1:12">
      <c r="A95" s="16" t="s">
        <v>38</v>
      </c>
      <c r="B95" s="19">
        <v>45657</v>
      </c>
      <c r="C95" s="19" t="s">
        <v>110</v>
      </c>
      <c r="D95" s="20" t="e">
        <v>#N/A</v>
      </c>
      <c r="E95" s="20">
        <v>1</v>
      </c>
      <c r="F95" s="16" t="s">
        <v>5</v>
      </c>
      <c r="G95" s="21" t="s">
        <v>110</v>
      </c>
      <c r="H95" s="21" t="s">
        <v>110</v>
      </c>
      <c r="I95" s="20">
        <v>0</v>
      </c>
      <c r="J95" s="20">
        <v>0</v>
      </c>
      <c r="K95" s="20">
        <v>0</v>
      </c>
      <c r="L95" s="16" t="s">
        <v>110</v>
      </c>
    </row>
    <row r="96" spans="1:12">
      <c r="A96" s="12" t="s">
        <v>46</v>
      </c>
      <c r="B96" s="17">
        <v>45657</v>
      </c>
      <c r="C96" s="17">
        <v>45657</v>
      </c>
      <c r="D96" s="15">
        <v>0</v>
      </c>
      <c r="E96" s="15">
        <v>0</v>
      </c>
      <c r="F96" s="12" t="s">
        <v>9</v>
      </c>
      <c r="G96" s="18">
        <v>-104.94420554</v>
      </c>
      <c r="H96" s="18">
        <v>39.726866880000003</v>
      </c>
      <c r="I96" s="15">
        <v>1</v>
      </c>
      <c r="J96" s="15">
        <v>0</v>
      </c>
      <c r="K96" s="15">
        <v>0</v>
      </c>
      <c r="L96" s="12" t="s">
        <v>200</v>
      </c>
    </row>
    <row r="97" spans="1:12">
      <c r="A97" s="16" t="s">
        <v>46</v>
      </c>
      <c r="B97" s="19">
        <v>45657</v>
      </c>
      <c r="C97" s="19">
        <v>45657</v>
      </c>
      <c r="D97" s="20">
        <v>0</v>
      </c>
      <c r="E97" s="20">
        <v>0</v>
      </c>
      <c r="F97" s="16" t="s">
        <v>96</v>
      </c>
      <c r="G97" s="21" t="s">
        <v>110</v>
      </c>
      <c r="H97" s="21" t="s">
        <v>110</v>
      </c>
      <c r="I97" s="20">
        <v>0</v>
      </c>
      <c r="J97" s="20">
        <v>0</v>
      </c>
      <c r="K97" s="20">
        <v>0</v>
      </c>
      <c r="L97" s="16" t="s">
        <v>110</v>
      </c>
    </row>
    <row r="98" spans="1:12">
      <c r="A98" s="12" t="s">
        <v>46</v>
      </c>
      <c r="B98" s="17">
        <v>45657</v>
      </c>
      <c r="C98" s="17">
        <v>45657</v>
      </c>
      <c r="D98" s="15">
        <v>0</v>
      </c>
      <c r="E98" s="15">
        <v>0</v>
      </c>
      <c r="F98" s="12" t="s">
        <v>7</v>
      </c>
      <c r="G98" s="18" t="s">
        <v>110</v>
      </c>
      <c r="H98" s="18" t="s">
        <v>110</v>
      </c>
      <c r="I98" s="15">
        <v>0</v>
      </c>
      <c r="J98" s="15">
        <v>0</v>
      </c>
      <c r="K98" s="15">
        <v>0</v>
      </c>
      <c r="L98" s="12" t="s">
        <v>110</v>
      </c>
    </row>
    <row r="99" spans="1:12">
      <c r="A99" s="16" t="s">
        <v>11</v>
      </c>
      <c r="B99" s="19">
        <v>45657</v>
      </c>
      <c r="C99" s="19">
        <v>45657</v>
      </c>
      <c r="D99" s="20">
        <v>0</v>
      </c>
      <c r="E99" s="20">
        <v>0</v>
      </c>
      <c r="F99" s="16" t="s">
        <v>17</v>
      </c>
      <c r="G99" s="21">
        <v>-105.01027046999999</v>
      </c>
      <c r="H99" s="21">
        <v>39.763485690000003</v>
      </c>
      <c r="I99" s="20">
        <v>1</v>
      </c>
      <c r="J99" s="20">
        <v>0</v>
      </c>
      <c r="K99" s="20">
        <v>0</v>
      </c>
      <c r="L99" s="16" t="s">
        <v>202</v>
      </c>
    </row>
    <row r="100" spans="1:12">
      <c r="A100" s="12" t="s">
        <v>46</v>
      </c>
      <c r="B100" s="17">
        <v>45657</v>
      </c>
      <c r="C100" s="17">
        <v>45657</v>
      </c>
      <c r="D100" s="15">
        <v>0</v>
      </c>
      <c r="E100" s="15">
        <v>0</v>
      </c>
      <c r="F100" s="12" t="s">
        <v>9</v>
      </c>
      <c r="G100" s="18" t="s">
        <v>110</v>
      </c>
      <c r="H100" s="18" t="s">
        <v>110</v>
      </c>
      <c r="I100" s="15">
        <v>0</v>
      </c>
      <c r="J100" s="15">
        <v>0</v>
      </c>
      <c r="K100" s="15">
        <v>0</v>
      </c>
      <c r="L100" s="12" t="s">
        <v>110</v>
      </c>
    </row>
    <row r="101" spans="1:12">
      <c r="A101" s="16" t="s">
        <v>4</v>
      </c>
      <c r="B101" s="19">
        <v>45657</v>
      </c>
      <c r="C101" s="19">
        <v>45657</v>
      </c>
      <c r="D101" s="20">
        <v>0</v>
      </c>
      <c r="E101" s="20">
        <v>0</v>
      </c>
      <c r="F101" s="16" t="s">
        <v>5</v>
      </c>
      <c r="G101" s="21" t="s">
        <v>110</v>
      </c>
      <c r="H101" s="21" t="s">
        <v>110</v>
      </c>
      <c r="I101" s="20">
        <v>0</v>
      </c>
      <c r="J101" s="20">
        <v>0</v>
      </c>
      <c r="K101" s="20">
        <v>0</v>
      </c>
      <c r="L101" s="16" t="s">
        <v>110</v>
      </c>
    </row>
    <row r="102" spans="1:12">
      <c r="A102" s="12" t="s">
        <v>46</v>
      </c>
      <c r="B102" s="17">
        <v>45657</v>
      </c>
      <c r="C102" s="17">
        <v>45665</v>
      </c>
      <c r="D102" s="15">
        <v>8</v>
      </c>
      <c r="E102" s="15">
        <v>0</v>
      </c>
      <c r="F102" s="12" t="s">
        <v>96</v>
      </c>
      <c r="G102" s="18" t="s">
        <v>110</v>
      </c>
      <c r="H102" s="18" t="s">
        <v>110</v>
      </c>
      <c r="I102" s="15">
        <v>0</v>
      </c>
      <c r="J102" s="15">
        <v>0</v>
      </c>
      <c r="K102" s="15">
        <v>0</v>
      </c>
      <c r="L102" s="12" t="s">
        <v>110</v>
      </c>
    </row>
    <row r="103" spans="1:12">
      <c r="A103" s="16" t="s">
        <v>4</v>
      </c>
      <c r="B103" s="19">
        <v>45657</v>
      </c>
      <c r="C103" s="19">
        <v>45657</v>
      </c>
      <c r="D103" s="20">
        <v>0</v>
      </c>
      <c r="E103" s="20">
        <v>0</v>
      </c>
      <c r="F103" s="16" t="s">
        <v>5</v>
      </c>
      <c r="G103" s="21" t="s">
        <v>110</v>
      </c>
      <c r="H103" s="21" t="s">
        <v>110</v>
      </c>
      <c r="I103" s="20">
        <v>0</v>
      </c>
      <c r="J103" s="20">
        <v>0</v>
      </c>
      <c r="K103" s="20">
        <v>0</v>
      </c>
      <c r="L103" s="16" t="s">
        <v>110</v>
      </c>
    </row>
    <row r="104" spans="1:12">
      <c r="A104" s="12" t="s">
        <v>10</v>
      </c>
      <c r="B104" s="17">
        <v>45657</v>
      </c>
      <c r="C104" s="17">
        <v>45657</v>
      </c>
      <c r="D104" s="15">
        <v>0</v>
      </c>
      <c r="E104" s="15">
        <v>0</v>
      </c>
      <c r="F104" s="12" t="s">
        <v>22</v>
      </c>
      <c r="G104" s="18" t="s">
        <v>110</v>
      </c>
      <c r="H104" s="18" t="s">
        <v>110</v>
      </c>
      <c r="I104" s="15">
        <v>0</v>
      </c>
      <c r="J104" s="15">
        <v>0</v>
      </c>
      <c r="K104" s="15">
        <v>0</v>
      </c>
      <c r="L104" s="12" t="s">
        <v>110</v>
      </c>
    </row>
    <row r="105" spans="1:12">
      <c r="A105" s="16" t="s">
        <v>10</v>
      </c>
      <c r="B105" s="19">
        <v>45657</v>
      </c>
      <c r="C105" s="19">
        <v>45657</v>
      </c>
      <c r="D105" s="20">
        <v>0</v>
      </c>
      <c r="E105" s="20">
        <v>0</v>
      </c>
      <c r="F105" s="16" t="s">
        <v>13</v>
      </c>
      <c r="G105" s="21" t="s">
        <v>110</v>
      </c>
      <c r="H105" s="21" t="s">
        <v>110</v>
      </c>
      <c r="I105" s="20">
        <v>0</v>
      </c>
      <c r="J105" s="20">
        <v>0</v>
      </c>
      <c r="K105" s="20">
        <v>0</v>
      </c>
      <c r="L105" s="16" t="s">
        <v>110</v>
      </c>
    </row>
    <row r="106" spans="1:12">
      <c r="A106" s="12" t="s">
        <v>10</v>
      </c>
      <c r="B106" s="17">
        <v>45657</v>
      </c>
      <c r="C106" s="17">
        <v>45657</v>
      </c>
      <c r="D106" s="15">
        <v>0</v>
      </c>
      <c r="E106" s="15">
        <v>0</v>
      </c>
      <c r="F106" s="12" t="s">
        <v>7</v>
      </c>
      <c r="G106" s="18" t="s">
        <v>110</v>
      </c>
      <c r="H106" s="18" t="s">
        <v>110</v>
      </c>
      <c r="I106" s="15">
        <v>0</v>
      </c>
      <c r="J106" s="15">
        <v>0</v>
      </c>
      <c r="K106" s="15">
        <v>0</v>
      </c>
      <c r="L106" s="12" t="s">
        <v>110</v>
      </c>
    </row>
    <row r="107" spans="1:12">
      <c r="A107" s="16" t="s">
        <v>10</v>
      </c>
      <c r="B107" s="19">
        <v>45657</v>
      </c>
      <c r="C107" s="19">
        <v>45657</v>
      </c>
      <c r="D107" s="20">
        <v>0</v>
      </c>
      <c r="E107" s="20">
        <v>0</v>
      </c>
      <c r="F107" s="16" t="s">
        <v>7</v>
      </c>
      <c r="G107" s="21" t="s">
        <v>110</v>
      </c>
      <c r="H107" s="21" t="s">
        <v>110</v>
      </c>
      <c r="I107" s="20">
        <v>0</v>
      </c>
      <c r="J107" s="20">
        <v>0</v>
      </c>
      <c r="K107" s="20">
        <v>0</v>
      </c>
      <c r="L107" s="16" t="s">
        <v>110</v>
      </c>
    </row>
    <row r="108" spans="1:12">
      <c r="A108" s="12" t="s">
        <v>46</v>
      </c>
      <c r="B108" s="17">
        <v>45657</v>
      </c>
      <c r="C108" s="17">
        <v>45659</v>
      </c>
      <c r="D108" s="15">
        <v>2</v>
      </c>
      <c r="E108" s="15">
        <v>0</v>
      </c>
      <c r="F108" s="12" t="s">
        <v>13</v>
      </c>
      <c r="G108" s="18">
        <v>-104.78551301</v>
      </c>
      <c r="H108" s="18">
        <v>39.786000440000002</v>
      </c>
      <c r="I108" s="15">
        <v>1</v>
      </c>
      <c r="J108" s="15">
        <v>0</v>
      </c>
      <c r="K108" s="15">
        <v>0</v>
      </c>
      <c r="L108" s="12" t="s">
        <v>110</v>
      </c>
    </row>
    <row r="109" spans="1:12">
      <c r="A109" s="16" t="s">
        <v>10</v>
      </c>
      <c r="B109" s="19">
        <v>45657</v>
      </c>
      <c r="C109" s="19">
        <v>45658</v>
      </c>
      <c r="D109" s="20">
        <v>1</v>
      </c>
      <c r="E109" s="20">
        <v>0</v>
      </c>
      <c r="F109" s="16" t="s">
        <v>5</v>
      </c>
      <c r="G109" s="21">
        <v>-105.04413079</v>
      </c>
      <c r="H109" s="21">
        <v>39.705520929999999</v>
      </c>
      <c r="I109" s="20">
        <v>1</v>
      </c>
      <c r="J109" s="20">
        <v>0</v>
      </c>
      <c r="K109" s="20">
        <v>0</v>
      </c>
      <c r="L109" s="16" t="s">
        <v>110</v>
      </c>
    </row>
    <row r="110" spans="1:12">
      <c r="A110" s="12" t="s">
        <v>46</v>
      </c>
      <c r="B110" s="17">
        <v>45657</v>
      </c>
      <c r="C110" s="17">
        <v>45657</v>
      </c>
      <c r="D110" s="15">
        <v>0</v>
      </c>
      <c r="E110" s="15">
        <v>0</v>
      </c>
      <c r="F110" s="12" t="s">
        <v>7</v>
      </c>
      <c r="G110" s="18" t="s">
        <v>110</v>
      </c>
      <c r="H110" s="18" t="s">
        <v>110</v>
      </c>
      <c r="I110" s="15">
        <v>0</v>
      </c>
      <c r="J110" s="15">
        <v>0</v>
      </c>
      <c r="K110" s="15">
        <v>0</v>
      </c>
      <c r="L110" s="12" t="s">
        <v>110</v>
      </c>
    </row>
    <row r="111" spans="1:12">
      <c r="A111" s="16" t="s">
        <v>46</v>
      </c>
      <c r="B111" s="19">
        <v>45657</v>
      </c>
      <c r="C111" s="19">
        <v>45657</v>
      </c>
      <c r="D111" s="20">
        <v>0</v>
      </c>
      <c r="E111" s="20">
        <v>0</v>
      </c>
      <c r="F111" s="16" t="s">
        <v>96</v>
      </c>
      <c r="G111" s="21" t="s">
        <v>110</v>
      </c>
      <c r="H111" s="21" t="s">
        <v>110</v>
      </c>
      <c r="I111" s="20">
        <v>0</v>
      </c>
      <c r="J111" s="20">
        <v>0</v>
      </c>
      <c r="K111" s="20">
        <v>0</v>
      </c>
      <c r="L111" s="16" t="s">
        <v>110</v>
      </c>
    </row>
    <row r="112" spans="1:12">
      <c r="A112" s="12" t="s">
        <v>46</v>
      </c>
      <c r="B112" s="17">
        <v>45657</v>
      </c>
      <c r="C112" s="17">
        <v>45657</v>
      </c>
      <c r="D112" s="15">
        <v>0</v>
      </c>
      <c r="E112" s="15">
        <v>0</v>
      </c>
      <c r="F112" s="12" t="s">
        <v>96</v>
      </c>
      <c r="G112" s="18" t="s">
        <v>110</v>
      </c>
      <c r="H112" s="18" t="s">
        <v>110</v>
      </c>
      <c r="I112" s="15">
        <v>0</v>
      </c>
      <c r="J112" s="15">
        <v>0</v>
      </c>
      <c r="K112" s="15">
        <v>0</v>
      </c>
      <c r="L112" s="12" t="s">
        <v>110</v>
      </c>
    </row>
    <row r="113" spans="1:12">
      <c r="A113" s="16" t="s">
        <v>46</v>
      </c>
      <c r="B113" s="19">
        <v>45657</v>
      </c>
      <c r="C113" s="19">
        <v>45657</v>
      </c>
      <c r="D113" s="20">
        <v>0</v>
      </c>
      <c r="E113" s="20">
        <v>0</v>
      </c>
      <c r="F113" s="16" t="s">
        <v>5</v>
      </c>
      <c r="G113" s="21" t="s">
        <v>110</v>
      </c>
      <c r="H113" s="21" t="s">
        <v>110</v>
      </c>
      <c r="I113" s="20">
        <v>0</v>
      </c>
      <c r="J113" s="20">
        <v>0</v>
      </c>
      <c r="K113" s="20">
        <v>0</v>
      </c>
      <c r="L113" s="16" t="s">
        <v>110</v>
      </c>
    </row>
    <row r="114" spans="1:12">
      <c r="A114" s="12" t="s">
        <v>27</v>
      </c>
      <c r="B114" s="17">
        <v>45657</v>
      </c>
      <c r="C114" s="17">
        <v>45657</v>
      </c>
      <c r="D114" s="15">
        <v>0</v>
      </c>
      <c r="E114" s="15">
        <v>0</v>
      </c>
      <c r="F114" s="12" t="s">
        <v>5</v>
      </c>
      <c r="G114" s="18" t="s">
        <v>110</v>
      </c>
      <c r="H114" s="18" t="s">
        <v>110</v>
      </c>
      <c r="I114" s="15">
        <v>0</v>
      </c>
      <c r="J114" s="15">
        <v>0</v>
      </c>
      <c r="K114" s="15">
        <v>0</v>
      </c>
      <c r="L114" s="12" t="s">
        <v>110</v>
      </c>
    </row>
    <row r="115" spans="1:12">
      <c r="A115" s="16" t="s">
        <v>46</v>
      </c>
      <c r="B115" s="19">
        <v>45657</v>
      </c>
      <c r="C115" s="19">
        <v>45657</v>
      </c>
      <c r="D115" s="20">
        <v>0</v>
      </c>
      <c r="E115" s="20">
        <v>0</v>
      </c>
      <c r="F115" s="16" t="s">
        <v>9</v>
      </c>
      <c r="G115" s="21" t="s">
        <v>110</v>
      </c>
      <c r="H115" s="21" t="s">
        <v>110</v>
      </c>
      <c r="I115" s="20">
        <v>0</v>
      </c>
      <c r="J115" s="20">
        <v>0</v>
      </c>
      <c r="K115" s="20">
        <v>0</v>
      </c>
      <c r="L115" s="16" t="s">
        <v>110</v>
      </c>
    </row>
    <row r="116" spans="1:12">
      <c r="A116" s="12" t="s">
        <v>10</v>
      </c>
      <c r="B116" s="17">
        <v>45657</v>
      </c>
      <c r="C116" s="17">
        <v>45657</v>
      </c>
      <c r="D116" s="15">
        <v>0</v>
      </c>
      <c r="E116" s="15">
        <v>0</v>
      </c>
      <c r="F116" s="12" t="s">
        <v>7</v>
      </c>
      <c r="G116" s="18" t="s">
        <v>110</v>
      </c>
      <c r="H116" s="18" t="s">
        <v>110</v>
      </c>
      <c r="I116" s="15">
        <v>0</v>
      </c>
      <c r="J116" s="15">
        <v>0</v>
      </c>
      <c r="K116" s="15">
        <v>0</v>
      </c>
      <c r="L116" s="12" t="s">
        <v>110</v>
      </c>
    </row>
    <row r="117" spans="1:12">
      <c r="A117" s="16" t="s">
        <v>10</v>
      </c>
      <c r="B117" s="19">
        <v>45657</v>
      </c>
      <c r="C117" s="19">
        <v>45657</v>
      </c>
      <c r="D117" s="20">
        <v>0</v>
      </c>
      <c r="E117" s="20">
        <v>0</v>
      </c>
      <c r="F117" s="16" t="s">
        <v>5</v>
      </c>
      <c r="G117" s="21" t="s">
        <v>110</v>
      </c>
      <c r="H117" s="21" t="s">
        <v>110</v>
      </c>
      <c r="I117" s="20">
        <v>0</v>
      </c>
      <c r="J117" s="20">
        <v>0</v>
      </c>
      <c r="K117" s="20">
        <v>0</v>
      </c>
      <c r="L117" s="16" t="s">
        <v>110</v>
      </c>
    </row>
    <row r="118" spans="1:12">
      <c r="A118" s="12" t="s">
        <v>4</v>
      </c>
      <c r="B118" s="17">
        <v>45657</v>
      </c>
      <c r="C118" s="17">
        <v>45657</v>
      </c>
      <c r="D118" s="15">
        <v>0</v>
      </c>
      <c r="E118" s="15">
        <v>0</v>
      </c>
      <c r="F118" s="12" t="s">
        <v>5</v>
      </c>
      <c r="G118" s="18" t="s">
        <v>110</v>
      </c>
      <c r="H118" s="18" t="s">
        <v>110</v>
      </c>
      <c r="I118" s="15">
        <v>0</v>
      </c>
      <c r="J118" s="15">
        <v>0</v>
      </c>
      <c r="K118" s="15">
        <v>0</v>
      </c>
      <c r="L118" s="12" t="s">
        <v>110</v>
      </c>
    </row>
    <row r="119" spans="1:12">
      <c r="A119" s="16" t="s">
        <v>10</v>
      </c>
      <c r="B119" s="19">
        <v>45657</v>
      </c>
      <c r="C119" s="19">
        <v>45657</v>
      </c>
      <c r="D119" s="20">
        <v>0</v>
      </c>
      <c r="E119" s="20">
        <v>0</v>
      </c>
      <c r="F119" s="16" t="s">
        <v>96</v>
      </c>
      <c r="G119" s="21" t="s">
        <v>110</v>
      </c>
      <c r="H119" s="21" t="s">
        <v>110</v>
      </c>
      <c r="I119" s="20">
        <v>0</v>
      </c>
      <c r="J119" s="20">
        <v>0</v>
      </c>
      <c r="K119" s="20">
        <v>0</v>
      </c>
      <c r="L119" s="16" t="s">
        <v>110</v>
      </c>
    </row>
    <row r="120" spans="1:12">
      <c r="A120" s="12" t="s">
        <v>46</v>
      </c>
      <c r="B120" s="17">
        <v>45657</v>
      </c>
      <c r="C120" s="17">
        <v>45657</v>
      </c>
      <c r="D120" s="15">
        <v>0</v>
      </c>
      <c r="E120" s="15">
        <v>0</v>
      </c>
      <c r="F120" s="12" t="s">
        <v>17</v>
      </c>
      <c r="G120" s="18" t="s">
        <v>110</v>
      </c>
      <c r="H120" s="18" t="s">
        <v>110</v>
      </c>
      <c r="I120" s="15">
        <v>0</v>
      </c>
      <c r="J120" s="15">
        <v>0</v>
      </c>
      <c r="K120" s="15">
        <v>0</v>
      </c>
      <c r="L120" s="12" t="s">
        <v>110</v>
      </c>
    </row>
    <row r="121" spans="1:12">
      <c r="A121" s="16" t="s">
        <v>10</v>
      </c>
      <c r="B121" s="19">
        <v>45657</v>
      </c>
      <c r="C121" s="19">
        <v>45657</v>
      </c>
      <c r="D121" s="20">
        <v>0</v>
      </c>
      <c r="E121" s="20">
        <v>0</v>
      </c>
      <c r="F121" s="16" t="s">
        <v>5</v>
      </c>
      <c r="G121" s="21" t="s">
        <v>110</v>
      </c>
      <c r="H121" s="21" t="s">
        <v>110</v>
      </c>
      <c r="I121" s="20">
        <v>0</v>
      </c>
      <c r="J121" s="20">
        <v>0</v>
      </c>
      <c r="K121" s="20">
        <v>0</v>
      </c>
      <c r="L121" s="16" t="s">
        <v>110</v>
      </c>
    </row>
    <row r="122" spans="1:12">
      <c r="A122" s="12" t="s">
        <v>38</v>
      </c>
      <c r="B122" s="17">
        <v>45657</v>
      </c>
      <c r="C122" s="17" t="s">
        <v>110</v>
      </c>
      <c r="D122" s="15" t="e">
        <v>#N/A</v>
      </c>
      <c r="E122" s="15">
        <v>1</v>
      </c>
      <c r="F122" s="12" t="s">
        <v>15</v>
      </c>
      <c r="G122" s="18" t="s">
        <v>110</v>
      </c>
      <c r="H122" s="18" t="s">
        <v>110</v>
      </c>
      <c r="I122" s="15">
        <v>0</v>
      </c>
      <c r="J122" s="15">
        <v>0</v>
      </c>
      <c r="K122" s="15">
        <v>0</v>
      </c>
      <c r="L122" s="12" t="s">
        <v>110</v>
      </c>
    </row>
    <row r="123" spans="1:12">
      <c r="A123" s="16" t="s">
        <v>4</v>
      </c>
      <c r="B123" s="19">
        <v>45657</v>
      </c>
      <c r="C123" s="19">
        <v>45659</v>
      </c>
      <c r="D123" s="20">
        <v>2</v>
      </c>
      <c r="E123" s="20">
        <v>0</v>
      </c>
      <c r="F123" s="16" t="s">
        <v>17</v>
      </c>
      <c r="G123" s="21" t="s">
        <v>110</v>
      </c>
      <c r="H123" s="21" t="s">
        <v>110</v>
      </c>
      <c r="I123" s="20">
        <v>0</v>
      </c>
      <c r="J123" s="20">
        <v>0</v>
      </c>
      <c r="K123" s="20">
        <v>0</v>
      </c>
      <c r="L123" s="16" t="s">
        <v>110</v>
      </c>
    </row>
    <row r="124" spans="1:12">
      <c r="A124" s="12" t="s">
        <v>38</v>
      </c>
      <c r="B124" s="17">
        <v>45657</v>
      </c>
      <c r="C124" s="17" t="s">
        <v>110</v>
      </c>
      <c r="D124" s="15" t="e">
        <v>#N/A</v>
      </c>
      <c r="E124" s="15">
        <v>1</v>
      </c>
      <c r="F124" s="12" t="s">
        <v>96</v>
      </c>
      <c r="G124" s="18" t="s">
        <v>110</v>
      </c>
      <c r="H124" s="18" t="s">
        <v>110</v>
      </c>
      <c r="I124" s="15">
        <v>0</v>
      </c>
      <c r="J124" s="15">
        <v>0</v>
      </c>
      <c r="K124" s="15">
        <v>0</v>
      </c>
      <c r="L124" s="12" t="s">
        <v>110</v>
      </c>
    </row>
    <row r="125" spans="1:12">
      <c r="A125" s="16" t="s">
        <v>46</v>
      </c>
      <c r="B125" s="19">
        <v>45657</v>
      </c>
      <c r="C125" s="19">
        <v>45674</v>
      </c>
      <c r="D125" s="20">
        <v>17</v>
      </c>
      <c r="E125" s="20">
        <v>0</v>
      </c>
      <c r="F125" s="16" t="s">
        <v>17</v>
      </c>
      <c r="G125" s="21" t="s">
        <v>110</v>
      </c>
      <c r="H125" s="21" t="s">
        <v>110</v>
      </c>
      <c r="I125" s="20">
        <v>0</v>
      </c>
      <c r="J125" s="20">
        <v>0</v>
      </c>
      <c r="K125" s="20">
        <v>0</v>
      </c>
      <c r="L125" s="16" t="s">
        <v>110</v>
      </c>
    </row>
    <row r="126" spans="1:12">
      <c r="A126" s="12" t="s">
        <v>10</v>
      </c>
      <c r="B126" s="17">
        <v>45657</v>
      </c>
      <c r="C126" s="17">
        <v>45657</v>
      </c>
      <c r="D126" s="15">
        <v>0</v>
      </c>
      <c r="E126" s="15">
        <v>0</v>
      </c>
      <c r="F126" s="12" t="s">
        <v>9</v>
      </c>
      <c r="G126" s="18" t="s">
        <v>110</v>
      </c>
      <c r="H126" s="18" t="s">
        <v>110</v>
      </c>
      <c r="I126" s="15">
        <v>0</v>
      </c>
      <c r="J126" s="15">
        <v>0</v>
      </c>
      <c r="K126" s="15">
        <v>0</v>
      </c>
      <c r="L126" s="12" t="s">
        <v>110</v>
      </c>
    </row>
    <row r="127" spans="1:12">
      <c r="A127" s="16" t="s">
        <v>10</v>
      </c>
      <c r="B127" s="19">
        <v>45657</v>
      </c>
      <c r="C127" s="19">
        <v>45657</v>
      </c>
      <c r="D127" s="20">
        <v>0</v>
      </c>
      <c r="E127" s="20">
        <v>0</v>
      </c>
      <c r="F127" s="16" t="s">
        <v>5</v>
      </c>
      <c r="G127" s="21" t="s">
        <v>110</v>
      </c>
      <c r="H127" s="21" t="s">
        <v>110</v>
      </c>
      <c r="I127" s="20">
        <v>0</v>
      </c>
      <c r="J127" s="20">
        <v>0</v>
      </c>
      <c r="K127" s="20">
        <v>0</v>
      </c>
      <c r="L127" s="16" t="s">
        <v>110</v>
      </c>
    </row>
    <row r="128" spans="1:12">
      <c r="A128" s="12" t="s">
        <v>46</v>
      </c>
      <c r="B128" s="17">
        <v>45657</v>
      </c>
      <c r="C128" s="17">
        <v>45657</v>
      </c>
      <c r="D128" s="15">
        <v>0</v>
      </c>
      <c r="E128" s="15">
        <v>0</v>
      </c>
      <c r="F128" s="12" t="s">
        <v>5</v>
      </c>
      <c r="G128" s="18" t="s">
        <v>110</v>
      </c>
      <c r="H128" s="18" t="s">
        <v>110</v>
      </c>
      <c r="I128" s="15">
        <v>0</v>
      </c>
      <c r="J128" s="15">
        <v>0</v>
      </c>
      <c r="K128" s="15">
        <v>0</v>
      </c>
      <c r="L128" s="12" t="s">
        <v>110</v>
      </c>
    </row>
    <row r="129" spans="1:12">
      <c r="A129" s="16" t="s">
        <v>46</v>
      </c>
      <c r="B129" s="19">
        <v>45657</v>
      </c>
      <c r="C129" s="19">
        <v>45663</v>
      </c>
      <c r="D129" s="20">
        <v>6</v>
      </c>
      <c r="E129" s="20">
        <v>0</v>
      </c>
      <c r="F129" s="16" t="s">
        <v>17</v>
      </c>
      <c r="G129" s="21" t="s">
        <v>110</v>
      </c>
      <c r="H129" s="21" t="s">
        <v>110</v>
      </c>
      <c r="I129" s="20">
        <v>0</v>
      </c>
      <c r="J129" s="20">
        <v>0</v>
      </c>
      <c r="K129" s="20">
        <v>0</v>
      </c>
      <c r="L129" s="16" t="s">
        <v>110</v>
      </c>
    </row>
    <row r="130" spans="1:12">
      <c r="A130" s="12" t="s">
        <v>11</v>
      </c>
      <c r="B130" s="17">
        <v>45657</v>
      </c>
      <c r="C130" s="17">
        <v>45657</v>
      </c>
      <c r="D130" s="15">
        <v>0</v>
      </c>
      <c r="E130" s="15">
        <v>0</v>
      </c>
      <c r="F130" s="12" t="s">
        <v>17</v>
      </c>
      <c r="G130" s="18">
        <v>-105.01320260999999</v>
      </c>
      <c r="H130" s="18">
        <v>39.776142389999997</v>
      </c>
      <c r="I130" s="15">
        <v>1</v>
      </c>
      <c r="J130" s="15">
        <v>0</v>
      </c>
      <c r="K130" s="15">
        <v>0</v>
      </c>
      <c r="L130" s="12" t="s">
        <v>202</v>
      </c>
    </row>
    <row r="131" spans="1:12">
      <c r="A131" s="16" t="s">
        <v>46</v>
      </c>
      <c r="B131" s="19">
        <v>45657</v>
      </c>
      <c r="C131" s="19">
        <v>45663</v>
      </c>
      <c r="D131" s="20">
        <v>6</v>
      </c>
      <c r="E131" s="20">
        <v>0</v>
      </c>
      <c r="F131" s="16" t="s">
        <v>17</v>
      </c>
      <c r="G131" s="21">
        <v>-104.812369</v>
      </c>
      <c r="H131" s="21">
        <v>39.786290999999999</v>
      </c>
      <c r="I131" s="20">
        <v>1</v>
      </c>
      <c r="J131" s="20">
        <v>0</v>
      </c>
      <c r="K131" s="20">
        <v>0</v>
      </c>
      <c r="L131" s="16" t="s">
        <v>204</v>
      </c>
    </row>
    <row r="132" spans="1:12">
      <c r="A132" s="12" t="s">
        <v>10</v>
      </c>
      <c r="B132" s="17">
        <v>45657</v>
      </c>
      <c r="C132" s="17">
        <v>45657</v>
      </c>
      <c r="D132" s="15">
        <v>0</v>
      </c>
      <c r="E132" s="15">
        <v>0</v>
      </c>
      <c r="F132" s="12" t="s">
        <v>7</v>
      </c>
      <c r="G132" s="18" t="s">
        <v>110</v>
      </c>
      <c r="H132" s="18" t="s">
        <v>110</v>
      </c>
      <c r="I132" s="15">
        <v>0</v>
      </c>
      <c r="J132" s="15">
        <v>0</v>
      </c>
      <c r="K132" s="15">
        <v>0</v>
      </c>
      <c r="L132" s="12" t="s">
        <v>110</v>
      </c>
    </row>
    <row r="133" spans="1:12">
      <c r="A133" s="16" t="s">
        <v>27</v>
      </c>
      <c r="B133" s="19">
        <v>45657</v>
      </c>
      <c r="C133" s="19">
        <v>45657</v>
      </c>
      <c r="D133" s="20">
        <v>0</v>
      </c>
      <c r="E133" s="20">
        <v>0</v>
      </c>
      <c r="F133" s="16" t="s">
        <v>96</v>
      </c>
      <c r="G133" s="21" t="s">
        <v>110</v>
      </c>
      <c r="H133" s="21" t="s">
        <v>110</v>
      </c>
      <c r="I133" s="20">
        <v>0</v>
      </c>
      <c r="J133" s="20">
        <v>0</v>
      </c>
      <c r="K133" s="20">
        <v>0</v>
      </c>
      <c r="L133" s="16" t="s">
        <v>110</v>
      </c>
    </row>
    <row r="134" spans="1:12">
      <c r="A134" s="12" t="s">
        <v>46</v>
      </c>
      <c r="B134" s="17">
        <v>45657</v>
      </c>
      <c r="C134" s="17">
        <v>45657</v>
      </c>
      <c r="D134" s="15">
        <v>0</v>
      </c>
      <c r="E134" s="15">
        <v>0</v>
      </c>
      <c r="F134" s="12" t="s">
        <v>13</v>
      </c>
      <c r="G134" s="18">
        <v>-104.772121</v>
      </c>
      <c r="H134" s="18">
        <v>39.798302999999997</v>
      </c>
      <c r="I134" s="15">
        <v>1</v>
      </c>
      <c r="J134" s="15">
        <v>0</v>
      </c>
      <c r="K134" s="15">
        <v>0</v>
      </c>
      <c r="L134" s="12" t="s">
        <v>204</v>
      </c>
    </row>
    <row r="135" spans="1:12">
      <c r="A135" s="16" t="s">
        <v>46</v>
      </c>
      <c r="B135" s="19">
        <v>45657</v>
      </c>
      <c r="C135" s="19">
        <v>45657</v>
      </c>
      <c r="D135" s="20">
        <v>0</v>
      </c>
      <c r="E135" s="20">
        <v>0</v>
      </c>
      <c r="F135" s="16" t="s">
        <v>5</v>
      </c>
      <c r="G135" s="21" t="s">
        <v>110</v>
      </c>
      <c r="H135" s="21" t="s">
        <v>110</v>
      </c>
      <c r="I135" s="20">
        <v>0</v>
      </c>
      <c r="J135" s="20">
        <v>0</v>
      </c>
      <c r="K135" s="20">
        <v>0</v>
      </c>
      <c r="L135" s="16" t="s">
        <v>110</v>
      </c>
    </row>
    <row r="136" spans="1:12">
      <c r="A136" s="12" t="s">
        <v>46</v>
      </c>
      <c r="B136" s="17">
        <v>45657</v>
      </c>
      <c r="C136" s="17">
        <v>45657</v>
      </c>
      <c r="D136" s="15">
        <v>0</v>
      </c>
      <c r="E136" s="15">
        <v>0</v>
      </c>
      <c r="F136" s="12" t="s">
        <v>17</v>
      </c>
      <c r="G136" s="18" t="s">
        <v>110</v>
      </c>
      <c r="H136" s="18" t="s">
        <v>110</v>
      </c>
      <c r="I136" s="15">
        <v>0</v>
      </c>
      <c r="J136" s="15">
        <v>0</v>
      </c>
      <c r="K136" s="15">
        <v>0</v>
      </c>
      <c r="L136" s="12" t="s">
        <v>110</v>
      </c>
    </row>
    <row r="137" spans="1:12">
      <c r="A137" s="16" t="s">
        <v>4</v>
      </c>
      <c r="B137" s="19">
        <v>45657</v>
      </c>
      <c r="C137" s="19">
        <v>45657</v>
      </c>
      <c r="D137" s="20">
        <v>0</v>
      </c>
      <c r="E137" s="20">
        <v>0</v>
      </c>
      <c r="F137" s="16" t="s">
        <v>5</v>
      </c>
      <c r="G137" s="21">
        <v>-104.9967647</v>
      </c>
      <c r="H137" s="21">
        <v>39.736293420000003</v>
      </c>
      <c r="I137" s="20">
        <v>1</v>
      </c>
      <c r="J137" s="20">
        <v>0</v>
      </c>
      <c r="K137" s="20">
        <v>0</v>
      </c>
      <c r="L137" s="16" t="s">
        <v>199</v>
      </c>
    </row>
    <row r="138" spans="1:12">
      <c r="A138" s="12" t="s">
        <v>47</v>
      </c>
      <c r="B138" s="17">
        <v>45657</v>
      </c>
      <c r="C138" s="17">
        <v>45659</v>
      </c>
      <c r="D138" s="15">
        <v>2</v>
      </c>
      <c r="E138" s="15">
        <v>0</v>
      </c>
      <c r="F138" s="12" t="s">
        <v>19</v>
      </c>
      <c r="G138" s="18" t="s">
        <v>110</v>
      </c>
      <c r="H138" s="18" t="s">
        <v>110</v>
      </c>
      <c r="I138" s="15">
        <v>0</v>
      </c>
      <c r="J138" s="15">
        <v>0</v>
      </c>
      <c r="K138" s="15">
        <v>0</v>
      </c>
      <c r="L138" s="12" t="s">
        <v>110</v>
      </c>
    </row>
    <row r="139" spans="1:12">
      <c r="A139" s="16" t="s">
        <v>46</v>
      </c>
      <c r="B139" s="19">
        <v>45657</v>
      </c>
      <c r="C139" s="19">
        <v>45657</v>
      </c>
      <c r="D139" s="20">
        <v>0</v>
      </c>
      <c r="E139" s="20">
        <v>0</v>
      </c>
      <c r="F139" s="16" t="s">
        <v>7</v>
      </c>
      <c r="G139" s="21" t="s">
        <v>110</v>
      </c>
      <c r="H139" s="21" t="s">
        <v>110</v>
      </c>
      <c r="I139" s="20">
        <v>0</v>
      </c>
      <c r="J139" s="20">
        <v>0</v>
      </c>
      <c r="K139" s="20">
        <v>0</v>
      </c>
      <c r="L139" s="16" t="s">
        <v>110</v>
      </c>
    </row>
    <row r="140" spans="1:12">
      <c r="A140" s="12" t="s">
        <v>46</v>
      </c>
      <c r="B140" s="17">
        <v>45657</v>
      </c>
      <c r="C140" s="17">
        <v>45657</v>
      </c>
      <c r="D140" s="15">
        <v>0</v>
      </c>
      <c r="E140" s="15">
        <v>0</v>
      </c>
      <c r="F140" s="12" t="s">
        <v>9</v>
      </c>
      <c r="G140" s="18" t="s">
        <v>110</v>
      </c>
      <c r="H140" s="18" t="s">
        <v>110</v>
      </c>
      <c r="I140" s="15">
        <v>0</v>
      </c>
      <c r="J140" s="15">
        <v>0</v>
      </c>
      <c r="K140" s="15">
        <v>0</v>
      </c>
      <c r="L140" s="12" t="s">
        <v>110</v>
      </c>
    </row>
    <row r="141" spans="1:12">
      <c r="A141" s="16" t="s">
        <v>38</v>
      </c>
      <c r="B141" s="19">
        <v>45657</v>
      </c>
      <c r="C141" s="19" t="s">
        <v>110</v>
      </c>
      <c r="D141" s="20" t="e">
        <v>#N/A</v>
      </c>
      <c r="E141" s="20">
        <v>1</v>
      </c>
      <c r="F141" s="16" t="s">
        <v>19</v>
      </c>
      <c r="G141" s="21">
        <v>-104.84347320000001</v>
      </c>
      <c r="H141" s="21">
        <v>39.78682362</v>
      </c>
      <c r="I141" s="20">
        <v>1</v>
      </c>
      <c r="J141" s="20">
        <v>0</v>
      </c>
      <c r="K141" s="20">
        <v>0</v>
      </c>
      <c r="L141" s="16" t="s">
        <v>110</v>
      </c>
    </row>
    <row r="142" spans="1:12">
      <c r="A142" s="12" t="s">
        <v>38</v>
      </c>
      <c r="B142" s="17">
        <v>45657</v>
      </c>
      <c r="C142" s="17" t="s">
        <v>110</v>
      </c>
      <c r="D142" s="15" t="e">
        <v>#N/A</v>
      </c>
      <c r="E142" s="15">
        <v>1</v>
      </c>
      <c r="F142" s="12" t="s">
        <v>5</v>
      </c>
      <c r="G142" s="18" t="s">
        <v>110</v>
      </c>
      <c r="H142" s="18" t="s">
        <v>110</v>
      </c>
      <c r="I142" s="15">
        <v>0</v>
      </c>
      <c r="J142" s="15">
        <v>0</v>
      </c>
      <c r="K142" s="15">
        <v>0</v>
      </c>
      <c r="L142" s="12" t="s">
        <v>110</v>
      </c>
    </row>
    <row r="143" spans="1:12">
      <c r="A143" s="16" t="s">
        <v>10</v>
      </c>
      <c r="B143" s="19">
        <v>45657</v>
      </c>
      <c r="C143" s="19">
        <v>45657</v>
      </c>
      <c r="D143" s="20">
        <v>0</v>
      </c>
      <c r="E143" s="20">
        <v>0</v>
      </c>
      <c r="F143" s="16" t="s">
        <v>7</v>
      </c>
      <c r="G143" s="21" t="s">
        <v>110</v>
      </c>
      <c r="H143" s="21" t="s">
        <v>110</v>
      </c>
      <c r="I143" s="20">
        <v>0</v>
      </c>
      <c r="J143" s="20">
        <v>0</v>
      </c>
      <c r="K143" s="20">
        <v>0</v>
      </c>
      <c r="L143" s="16" t="s">
        <v>110</v>
      </c>
    </row>
    <row r="144" spans="1:12">
      <c r="A144" s="12" t="s">
        <v>4</v>
      </c>
      <c r="B144" s="17">
        <v>45657</v>
      </c>
      <c r="C144" s="17">
        <v>45664</v>
      </c>
      <c r="D144" s="15">
        <v>7</v>
      </c>
      <c r="E144" s="15">
        <v>0</v>
      </c>
      <c r="F144" s="12" t="s">
        <v>17</v>
      </c>
      <c r="G144" s="18" t="s">
        <v>110</v>
      </c>
      <c r="H144" s="18" t="s">
        <v>110</v>
      </c>
      <c r="I144" s="15">
        <v>0</v>
      </c>
      <c r="J144" s="15">
        <v>0</v>
      </c>
      <c r="K144" s="15">
        <v>0</v>
      </c>
      <c r="L144" s="12" t="s">
        <v>110</v>
      </c>
    </row>
    <row r="145" spans="1:12">
      <c r="A145" s="16" t="s">
        <v>10</v>
      </c>
      <c r="B145" s="19">
        <v>45657</v>
      </c>
      <c r="C145" s="19">
        <v>45657</v>
      </c>
      <c r="D145" s="20">
        <v>0</v>
      </c>
      <c r="E145" s="20">
        <v>0</v>
      </c>
      <c r="F145" s="16" t="s">
        <v>13</v>
      </c>
      <c r="G145" s="21" t="s">
        <v>110</v>
      </c>
      <c r="H145" s="21" t="s">
        <v>110</v>
      </c>
      <c r="I145" s="20">
        <v>0</v>
      </c>
      <c r="J145" s="20">
        <v>0</v>
      </c>
      <c r="K145" s="20">
        <v>0</v>
      </c>
      <c r="L145" s="16" t="s">
        <v>110</v>
      </c>
    </row>
    <row r="146" spans="1:12">
      <c r="A146" s="12" t="s">
        <v>10</v>
      </c>
      <c r="B146" s="17">
        <v>45657</v>
      </c>
      <c r="C146" s="17">
        <v>45657</v>
      </c>
      <c r="D146" s="15">
        <v>0</v>
      </c>
      <c r="E146" s="15">
        <v>0</v>
      </c>
      <c r="F146" s="12" t="s">
        <v>13</v>
      </c>
      <c r="G146" s="18" t="s">
        <v>110</v>
      </c>
      <c r="H146" s="18" t="s">
        <v>110</v>
      </c>
      <c r="I146" s="15">
        <v>0</v>
      </c>
      <c r="J146" s="15">
        <v>0</v>
      </c>
      <c r="K146" s="15">
        <v>0</v>
      </c>
      <c r="L146" s="12" t="s">
        <v>110</v>
      </c>
    </row>
    <row r="147" spans="1:12">
      <c r="A147" s="16" t="s">
        <v>4</v>
      </c>
      <c r="B147" s="19">
        <v>45657</v>
      </c>
      <c r="C147" s="19">
        <v>45657</v>
      </c>
      <c r="D147" s="20">
        <v>0</v>
      </c>
      <c r="E147" s="20">
        <v>0</v>
      </c>
      <c r="F147" s="16" t="s">
        <v>5</v>
      </c>
      <c r="G147" s="21" t="s">
        <v>110</v>
      </c>
      <c r="H147" s="21" t="s">
        <v>110</v>
      </c>
      <c r="I147" s="20">
        <v>0</v>
      </c>
      <c r="J147" s="20">
        <v>0</v>
      </c>
      <c r="K147" s="20">
        <v>0</v>
      </c>
      <c r="L147" s="16" t="s">
        <v>110</v>
      </c>
    </row>
    <row r="148" spans="1:12">
      <c r="A148" s="12" t="s">
        <v>10</v>
      </c>
      <c r="B148" s="17">
        <v>45657</v>
      </c>
      <c r="C148" s="17">
        <v>45657</v>
      </c>
      <c r="D148" s="15">
        <v>0</v>
      </c>
      <c r="E148" s="15">
        <v>0</v>
      </c>
      <c r="F148" s="12" t="s">
        <v>7</v>
      </c>
      <c r="G148" s="18" t="s">
        <v>110</v>
      </c>
      <c r="H148" s="18" t="s">
        <v>110</v>
      </c>
      <c r="I148" s="15">
        <v>0</v>
      </c>
      <c r="J148" s="15">
        <v>0</v>
      </c>
      <c r="K148" s="15">
        <v>0</v>
      </c>
      <c r="L148" s="12" t="s">
        <v>110</v>
      </c>
    </row>
    <row r="149" spans="1:12">
      <c r="A149" s="16" t="s">
        <v>46</v>
      </c>
      <c r="B149" s="19">
        <v>45657</v>
      </c>
      <c r="C149" s="19">
        <v>45657</v>
      </c>
      <c r="D149" s="20">
        <v>0</v>
      </c>
      <c r="E149" s="20">
        <v>0</v>
      </c>
      <c r="F149" s="16" t="s">
        <v>22</v>
      </c>
      <c r="G149" s="21" t="s">
        <v>110</v>
      </c>
      <c r="H149" s="21" t="s">
        <v>110</v>
      </c>
      <c r="I149" s="20">
        <v>0</v>
      </c>
      <c r="J149" s="20">
        <v>0</v>
      </c>
      <c r="K149" s="20">
        <v>0</v>
      </c>
      <c r="L149" s="16" t="s">
        <v>110</v>
      </c>
    </row>
    <row r="150" spans="1:12">
      <c r="A150" s="12" t="s">
        <v>4</v>
      </c>
      <c r="B150" s="17">
        <v>45657</v>
      </c>
      <c r="C150" s="17">
        <v>45657</v>
      </c>
      <c r="D150" s="15">
        <v>0</v>
      </c>
      <c r="E150" s="15">
        <v>0</v>
      </c>
      <c r="F150" s="12" t="s">
        <v>5</v>
      </c>
      <c r="G150" s="18" t="s">
        <v>110</v>
      </c>
      <c r="H150" s="18" t="s">
        <v>110</v>
      </c>
      <c r="I150" s="15">
        <v>0</v>
      </c>
      <c r="J150" s="15">
        <v>0</v>
      </c>
      <c r="K150" s="15">
        <v>0</v>
      </c>
      <c r="L150" s="12" t="s">
        <v>110</v>
      </c>
    </row>
    <row r="151" spans="1:12">
      <c r="A151" s="16" t="s">
        <v>27</v>
      </c>
      <c r="B151" s="19">
        <v>45657</v>
      </c>
      <c r="C151" s="19">
        <v>45659</v>
      </c>
      <c r="D151" s="20">
        <v>2</v>
      </c>
      <c r="E151" s="20">
        <v>0</v>
      </c>
      <c r="F151" s="16" t="s">
        <v>96</v>
      </c>
      <c r="G151" s="21">
        <v>-105.02088816</v>
      </c>
      <c r="H151" s="21">
        <v>39.749490199999997</v>
      </c>
      <c r="I151" s="20">
        <v>1</v>
      </c>
      <c r="J151" s="20">
        <v>0</v>
      </c>
      <c r="K151" s="20">
        <v>0</v>
      </c>
      <c r="L151" s="16" t="s">
        <v>110</v>
      </c>
    </row>
    <row r="152" spans="1:12">
      <c r="A152" s="12" t="s">
        <v>10</v>
      </c>
      <c r="B152" s="17">
        <v>45657</v>
      </c>
      <c r="C152" s="17">
        <v>45657</v>
      </c>
      <c r="D152" s="15">
        <v>0</v>
      </c>
      <c r="E152" s="15">
        <v>0</v>
      </c>
      <c r="F152" s="12" t="s">
        <v>5</v>
      </c>
      <c r="G152" s="18" t="s">
        <v>110</v>
      </c>
      <c r="H152" s="18" t="s">
        <v>110</v>
      </c>
      <c r="I152" s="15">
        <v>0</v>
      </c>
      <c r="J152" s="15">
        <v>0</v>
      </c>
      <c r="K152" s="15">
        <v>0</v>
      </c>
      <c r="L152" s="12" t="s">
        <v>110</v>
      </c>
    </row>
    <row r="153" spans="1:12">
      <c r="A153" s="16" t="s">
        <v>46</v>
      </c>
      <c r="B153" s="19">
        <v>45657</v>
      </c>
      <c r="C153" s="19">
        <v>45657</v>
      </c>
      <c r="D153" s="20">
        <v>0</v>
      </c>
      <c r="E153" s="20">
        <v>0</v>
      </c>
      <c r="F153" s="16" t="s">
        <v>5</v>
      </c>
      <c r="G153" s="21" t="s">
        <v>110</v>
      </c>
      <c r="H153" s="21" t="s">
        <v>110</v>
      </c>
      <c r="I153" s="20">
        <v>0</v>
      </c>
      <c r="J153" s="20">
        <v>0</v>
      </c>
      <c r="K153" s="20">
        <v>0</v>
      </c>
      <c r="L153" s="16" t="s">
        <v>110</v>
      </c>
    </row>
    <row r="154" spans="1:12">
      <c r="A154" s="12" t="s">
        <v>10</v>
      </c>
      <c r="B154" s="17">
        <v>45657</v>
      </c>
      <c r="C154" s="17">
        <v>45657</v>
      </c>
      <c r="D154" s="15">
        <v>0</v>
      </c>
      <c r="E154" s="15">
        <v>0</v>
      </c>
      <c r="F154" s="12" t="s">
        <v>96</v>
      </c>
      <c r="G154" s="18" t="s">
        <v>110</v>
      </c>
      <c r="H154" s="18" t="s">
        <v>110</v>
      </c>
      <c r="I154" s="15">
        <v>0</v>
      </c>
      <c r="J154" s="15">
        <v>0</v>
      </c>
      <c r="K154" s="15">
        <v>0</v>
      </c>
      <c r="L154" s="12" t="s">
        <v>110</v>
      </c>
    </row>
    <row r="155" spans="1:12">
      <c r="A155" s="16" t="s">
        <v>46</v>
      </c>
      <c r="B155" s="19">
        <v>45657</v>
      </c>
      <c r="C155" s="19">
        <v>45657</v>
      </c>
      <c r="D155" s="20">
        <v>0</v>
      </c>
      <c r="E155" s="20">
        <v>0</v>
      </c>
      <c r="F155" s="16" t="s">
        <v>7</v>
      </c>
      <c r="G155" s="21" t="s">
        <v>110</v>
      </c>
      <c r="H155" s="21" t="s">
        <v>110</v>
      </c>
      <c r="I155" s="20">
        <v>0</v>
      </c>
      <c r="J155" s="20">
        <v>0</v>
      </c>
      <c r="K155" s="20">
        <v>0</v>
      </c>
      <c r="L155" s="16" t="s">
        <v>110</v>
      </c>
    </row>
    <row r="156" spans="1:12">
      <c r="A156" s="12" t="s">
        <v>10</v>
      </c>
      <c r="B156" s="17">
        <v>45657</v>
      </c>
      <c r="C156" s="17">
        <v>45657</v>
      </c>
      <c r="D156" s="15">
        <v>0</v>
      </c>
      <c r="E156" s="15">
        <v>0</v>
      </c>
      <c r="F156" s="12" t="s">
        <v>19</v>
      </c>
      <c r="G156" s="18" t="s">
        <v>110</v>
      </c>
      <c r="H156" s="18" t="s">
        <v>110</v>
      </c>
      <c r="I156" s="15">
        <v>0</v>
      </c>
      <c r="J156" s="15">
        <v>0</v>
      </c>
      <c r="K156" s="15">
        <v>0</v>
      </c>
      <c r="L156" s="12" t="s">
        <v>110</v>
      </c>
    </row>
    <row r="157" spans="1:12">
      <c r="A157" s="16" t="s">
        <v>46</v>
      </c>
      <c r="B157" s="19">
        <v>45657</v>
      </c>
      <c r="C157" s="19">
        <v>45657</v>
      </c>
      <c r="D157" s="20">
        <v>0</v>
      </c>
      <c r="E157" s="20">
        <v>0</v>
      </c>
      <c r="F157" s="16" t="s">
        <v>17</v>
      </c>
      <c r="G157" s="21">
        <v>-105.00431259</v>
      </c>
      <c r="H157" s="21">
        <v>39.730273070000003</v>
      </c>
      <c r="I157" s="20">
        <v>1</v>
      </c>
      <c r="J157" s="20">
        <v>0</v>
      </c>
      <c r="K157" s="20">
        <v>0</v>
      </c>
      <c r="L157" s="16" t="s">
        <v>199</v>
      </c>
    </row>
    <row r="158" spans="1:12">
      <c r="A158" s="12" t="s">
        <v>46</v>
      </c>
      <c r="B158" s="17">
        <v>45657</v>
      </c>
      <c r="C158" s="17">
        <v>45657</v>
      </c>
      <c r="D158" s="15">
        <v>0</v>
      </c>
      <c r="E158" s="15">
        <v>0</v>
      </c>
      <c r="F158" s="12" t="s">
        <v>7</v>
      </c>
      <c r="G158" s="18" t="s">
        <v>110</v>
      </c>
      <c r="H158" s="18" t="s">
        <v>110</v>
      </c>
      <c r="I158" s="15">
        <v>0</v>
      </c>
      <c r="J158" s="15">
        <v>0</v>
      </c>
      <c r="K158" s="15">
        <v>0</v>
      </c>
      <c r="L158" s="12" t="s">
        <v>110</v>
      </c>
    </row>
    <row r="159" spans="1:12">
      <c r="A159" s="16" t="s">
        <v>46</v>
      </c>
      <c r="B159" s="19">
        <v>45657</v>
      </c>
      <c r="C159" s="19">
        <v>45657</v>
      </c>
      <c r="D159" s="20">
        <v>0</v>
      </c>
      <c r="E159" s="20">
        <v>0</v>
      </c>
      <c r="F159" s="16" t="s">
        <v>7</v>
      </c>
      <c r="G159" s="21" t="s">
        <v>110</v>
      </c>
      <c r="H159" s="21" t="s">
        <v>110</v>
      </c>
      <c r="I159" s="20">
        <v>0</v>
      </c>
      <c r="J159" s="20">
        <v>0</v>
      </c>
      <c r="K159" s="20">
        <v>0</v>
      </c>
      <c r="L159" s="16" t="s">
        <v>110</v>
      </c>
    </row>
    <row r="160" spans="1:12">
      <c r="A160" s="12" t="s">
        <v>46</v>
      </c>
      <c r="B160" s="17">
        <v>45657</v>
      </c>
      <c r="C160" s="17">
        <v>45657</v>
      </c>
      <c r="D160" s="15">
        <v>0</v>
      </c>
      <c r="E160" s="15">
        <v>0</v>
      </c>
      <c r="F160" s="12" t="s">
        <v>96</v>
      </c>
      <c r="G160" s="18" t="s">
        <v>110</v>
      </c>
      <c r="H160" s="18" t="s">
        <v>110</v>
      </c>
      <c r="I160" s="15">
        <v>0</v>
      </c>
      <c r="J160" s="15">
        <v>0</v>
      </c>
      <c r="K160" s="15">
        <v>0</v>
      </c>
      <c r="L160" s="12" t="s">
        <v>110</v>
      </c>
    </row>
    <row r="161" spans="1:12">
      <c r="A161" s="16" t="s">
        <v>46</v>
      </c>
      <c r="B161" s="19">
        <v>45657</v>
      </c>
      <c r="C161" s="19">
        <v>45657</v>
      </c>
      <c r="D161" s="20">
        <v>0</v>
      </c>
      <c r="E161" s="20">
        <v>0</v>
      </c>
      <c r="F161" s="16" t="s">
        <v>5</v>
      </c>
      <c r="G161" s="21" t="s">
        <v>110</v>
      </c>
      <c r="H161" s="21" t="s">
        <v>110</v>
      </c>
      <c r="I161" s="20">
        <v>0</v>
      </c>
      <c r="J161" s="20">
        <v>0</v>
      </c>
      <c r="K161" s="20">
        <v>0</v>
      </c>
      <c r="L161" s="16" t="s">
        <v>110</v>
      </c>
    </row>
    <row r="162" spans="1:12">
      <c r="A162" s="12" t="s">
        <v>38</v>
      </c>
      <c r="B162" s="17">
        <v>45657</v>
      </c>
      <c r="C162" s="17" t="s">
        <v>110</v>
      </c>
      <c r="D162" s="15" t="e">
        <v>#N/A</v>
      </c>
      <c r="E162" s="15">
        <v>1</v>
      </c>
      <c r="F162" s="12" t="s">
        <v>23</v>
      </c>
      <c r="G162" s="18" t="s">
        <v>110</v>
      </c>
      <c r="H162" s="18" t="s">
        <v>110</v>
      </c>
      <c r="I162" s="15">
        <v>0</v>
      </c>
      <c r="J162" s="15">
        <v>0</v>
      </c>
      <c r="K162" s="15">
        <v>0</v>
      </c>
      <c r="L162" s="12" t="s">
        <v>110</v>
      </c>
    </row>
    <row r="163" spans="1:12">
      <c r="A163" s="16" t="s">
        <v>27</v>
      </c>
      <c r="B163" s="19">
        <v>45657</v>
      </c>
      <c r="C163" s="19">
        <v>45657</v>
      </c>
      <c r="D163" s="20">
        <v>0</v>
      </c>
      <c r="E163" s="20">
        <v>0</v>
      </c>
      <c r="F163" s="16" t="s">
        <v>96</v>
      </c>
      <c r="G163" s="21" t="s">
        <v>110</v>
      </c>
      <c r="H163" s="21" t="s">
        <v>110</v>
      </c>
      <c r="I163" s="20">
        <v>0</v>
      </c>
      <c r="J163" s="20">
        <v>0</v>
      </c>
      <c r="K163" s="20">
        <v>0</v>
      </c>
      <c r="L163" s="16" t="s">
        <v>110</v>
      </c>
    </row>
    <row r="164" spans="1:12">
      <c r="A164" s="12" t="s">
        <v>46</v>
      </c>
      <c r="B164" s="17">
        <v>45657</v>
      </c>
      <c r="C164" s="17">
        <v>45659</v>
      </c>
      <c r="D164" s="15">
        <v>2</v>
      </c>
      <c r="E164" s="15">
        <v>0</v>
      </c>
      <c r="F164" s="12" t="s">
        <v>17</v>
      </c>
      <c r="G164" s="18" t="s">
        <v>110</v>
      </c>
      <c r="H164" s="18" t="s">
        <v>110</v>
      </c>
      <c r="I164" s="15">
        <v>0</v>
      </c>
      <c r="J164" s="15">
        <v>0</v>
      </c>
      <c r="K164" s="15">
        <v>0</v>
      </c>
      <c r="L164" s="12" t="s">
        <v>110</v>
      </c>
    </row>
    <row r="165" spans="1:12">
      <c r="A165" s="16" t="s">
        <v>10</v>
      </c>
      <c r="B165" s="19">
        <v>45657</v>
      </c>
      <c r="C165" s="19">
        <v>45657</v>
      </c>
      <c r="D165" s="20">
        <v>0</v>
      </c>
      <c r="E165" s="20">
        <v>0</v>
      </c>
      <c r="F165" s="16" t="s">
        <v>7</v>
      </c>
      <c r="G165" s="21" t="s">
        <v>110</v>
      </c>
      <c r="H165" s="21" t="s">
        <v>110</v>
      </c>
      <c r="I165" s="20">
        <v>0</v>
      </c>
      <c r="J165" s="20">
        <v>0</v>
      </c>
      <c r="K165" s="20">
        <v>0</v>
      </c>
      <c r="L165" s="16" t="s">
        <v>110</v>
      </c>
    </row>
    <row r="166" spans="1:12">
      <c r="A166" s="12" t="s">
        <v>10</v>
      </c>
      <c r="B166" s="17">
        <v>45657</v>
      </c>
      <c r="C166" s="17">
        <v>45657</v>
      </c>
      <c r="D166" s="15">
        <v>0</v>
      </c>
      <c r="E166" s="15">
        <v>0</v>
      </c>
      <c r="F166" s="12" t="s">
        <v>7</v>
      </c>
      <c r="G166" s="18" t="s">
        <v>110</v>
      </c>
      <c r="H166" s="18" t="s">
        <v>110</v>
      </c>
      <c r="I166" s="15">
        <v>0</v>
      </c>
      <c r="J166" s="15">
        <v>0</v>
      </c>
      <c r="K166" s="15">
        <v>0</v>
      </c>
      <c r="L166" s="12" t="s">
        <v>110</v>
      </c>
    </row>
    <row r="167" spans="1:12">
      <c r="A167" s="16" t="s">
        <v>10</v>
      </c>
      <c r="B167" s="19">
        <v>45657</v>
      </c>
      <c r="C167" s="19">
        <v>45657</v>
      </c>
      <c r="D167" s="20">
        <v>0</v>
      </c>
      <c r="E167" s="20">
        <v>0</v>
      </c>
      <c r="F167" s="16" t="s">
        <v>9</v>
      </c>
      <c r="G167" s="21" t="s">
        <v>110</v>
      </c>
      <c r="H167" s="21" t="s">
        <v>110</v>
      </c>
      <c r="I167" s="20">
        <v>0</v>
      </c>
      <c r="J167" s="20">
        <v>0</v>
      </c>
      <c r="K167" s="20">
        <v>0</v>
      </c>
      <c r="L167" s="16" t="s">
        <v>110</v>
      </c>
    </row>
    <row r="168" spans="1:12">
      <c r="A168" s="12" t="s">
        <v>10</v>
      </c>
      <c r="B168" s="17">
        <v>45657</v>
      </c>
      <c r="C168" s="17">
        <v>45657</v>
      </c>
      <c r="D168" s="15">
        <v>0</v>
      </c>
      <c r="E168" s="15">
        <v>0</v>
      </c>
      <c r="F168" s="12" t="s">
        <v>96</v>
      </c>
      <c r="G168" s="18">
        <v>-104.95194721999999</v>
      </c>
      <c r="H168" s="18">
        <v>39.701020960000001</v>
      </c>
      <c r="I168" s="15">
        <v>1</v>
      </c>
      <c r="J168" s="15">
        <v>0</v>
      </c>
      <c r="K168" s="15">
        <v>0</v>
      </c>
      <c r="L168" s="12" t="s">
        <v>205</v>
      </c>
    </row>
    <row r="169" spans="1:12">
      <c r="A169" s="16" t="s">
        <v>38</v>
      </c>
      <c r="B169" s="19">
        <v>45657</v>
      </c>
      <c r="C169" s="19" t="s">
        <v>110</v>
      </c>
      <c r="D169" s="20" t="e">
        <v>#N/A</v>
      </c>
      <c r="E169" s="20">
        <v>1</v>
      </c>
      <c r="F169" s="16" t="s">
        <v>15</v>
      </c>
      <c r="G169" s="21" t="s">
        <v>110</v>
      </c>
      <c r="H169" s="21" t="s">
        <v>110</v>
      </c>
      <c r="I169" s="20">
        <v>0</v>
      </c>
      <c r="J169" s="20">
        <v>0</v>
      </c>
      <c r="K169" s="20">
        <v>0</v>
      </c>
      <c r="L169" s="16" t="s">
        <v>110</v>
      </c>
    </row>
    <row r="170" spans="1:12">
      <c r="A170" s="12" t="s">
        <v>10</v>
      </c>
      <c r="B170" s="17">
        <v>45657</v>
      </c>
      <c r="C170" s="17">
        <v>45657</v>
      </c>
      <c r="D170" s="15">
        <v>0</v>
      </c>
      <c r="E170" s="15">
        <v>0</v>
      </c>
      <c r="F170" s="12" t="s">
        <v>5</v>
      </c>
      <c r="G170" s="18" t="s">
        <v>110</v>
      </c>
      <c r="H170" s="18" t="s">
        <v>110</v>
      </c>
      <c r="I170" s="15">
        <v>0</v>
      </c>
      <c r="J170" s="15">
        <v>0</v>
      </c>
      <c r="K170" s="15">
        <v>0</v>
      </c>
      <c r="L170" s="12" t="s">
        <v>110</v>
      </c>
    </row>
    <row r="171" spans="1:12">
      <c r="A171" s="16" t="s">
        <v>4</v>
      </c>
      <c r="B171" s="19">
        <v>45657</v>
      </c>
      <c r="C171" s="19">
        <v>45657</v>
      </c>
      <c r="D171" s="20">
        <v>0</v>
      </c>
      <c r="E171" s="20">
        <v>0</v>
      </c>
      <c r="F171" s="16" t="s">
        <v>5</v>
      </c>
      <c r="G171" s="21" t="s">
        <v>110</v>
      </c>
      <c r="H171" s="21" t="s">
        <v>110</v>
      </c>
      <c r="I171" s="20">
        <v>0</v>
      </c>
      <c r="J171" s="20">
        <v>0</v>
      </c>
      <c r="K171" s="20">
        <v>0</v>
      </c>
      <c r="L171" s="16" t="s">
        <v>110</v>
      </c>
    </row>
    <row r="172" spans="1:12">
      <c r="A172" s="12" t="s">
        <v>46</v>
      </c>
      <c r="B172" s="17">
        <v>45657</v>
      </c>
      <c r="C172" s="17">
        <v>45657</v>
      </c>
      <c r="D172" s="15">
        <v>0</v>
      </c>
      <c r="E172" s="15">
        <v>0</v>
      </c>
      <c r="F172" s="12" t="s">
        <v>9</v>
      </c>
      <c r="G172" s="18" t="s">
        <v>110</v>
      </c>
      <c r="H172" s="18" t="s">
        <v>110</v>
      </c>
      <c r="I172" s="15">
        <v>0</v>
      </c>
      <c r="J172" s="15">
        <v>0</v>
      </c>
      <c r="K172" s="15">
        <v>0</v>
      </c>
      <c r="L172" s="12" t="s">
        <v>110</v>
      </c>
    </row>
    <row r="173" spans="1:12">
      <c r="A173" s="16" t="s">
        <v>46</v>
      </c>
      <c r="B173" s="19">
        <v>45657</v>
      </c>
      <c r="C173" s="19">
        <v>45657</v>
      </c>
      <c r="D173" s="20">
        <v>0</v>
      </c>
      <c r="E173" s="20">
        <v>0</v>
      </c>
      <c r="F173" s="16" t="s">
        <v>5</v>
      </c>
      <c r="G173" s="21" t="s">
        <v>110</v>
      </c>
      <c r="H173" s="21" t="s">
        <v>110</v>
      </c>
      <c r="I173" s="20">
        <v>0</v>
      </c>
      <c r="J173" s="20">
        <v>0</v>
      </c>
      <c r="K173" s="20">
        <v>0</v>
      </c>
      <c r="L173" s="16" t="s">
        <v>110</v>
      </c>
    </row>
    <row r="174" spans="1:12">
      <c r="A174" s="12" t="s">
        <v>10</v>
      </c>
      <c r="B174" s="17">
        <v>45657</v>
      </c>
      <c r="C174" s="17">
        <v>45657</v>
      </c>
      <c r="D174" s="15">
        <v>0</v>
      </c>
      <c r="E174" s="15">
        <v>0</v>
      </c>
      <c r="F174" s="12" t="s">
        <v>7</v>
      </c>
      <c r="G174" s="18" t="s">
        <v>110</v>
      </c>
      <c r="H174" s="18" t="s">
        <v>110</v>
      </c>
      <c r="I174" s="15">
        <v>0</v>
      </c>
      <c r="J174" s="15">
        <v>0</v>
      </c>
      <c r="K174" s="15">
        <v>0</v>
      </c>
      <c r="L174" s="12" t="s">
        <v>110</v>
      </c>
    </row>
    <row r="175" spans="1:12">
      <c r="A175" s="16" t="s">
        <v>46</v>
      </c>
      <c r="B175" s="19">
        <v>45657</v>
      </c>
      <c r="C175" s="19">
        <v>45657</v>
      </c>
      <c r="D175" s="20">
        <v>0</v>
      </c>
      <c r="E175" s="20">
        <v>0</v>
      </c>
      <c r="F175" s="16" t="s">
        <v>5</v>
      </c>
      <c r="G175" s="21" t="s">
        <v>110</v>
      </c>
      <c r="H175" s="21" t="s">
        <v>110</v>
      </c>
      <c r="I175" s="20">
        <v>0</v>
      </c>
      <c r="J175" s="20">
        <v>0</v>
      </c>
      <c r="K175" s="20">
        <v>0</v>
      </c>
      <c r="L175" s="16" t="s">
        <v>110</v>
      </c>
    </row>
    <row r="176" spans="1:12">
      <c r="A176" s="12" t="s">
        <v>4</v>
      </c>
      <c r="B176" s="17">
        <v>45657</v>
      </c>
      <c r="C176" s="17">
        <v>45660</v>
      </c>
      <c r="D176" s="15">
        <v>3</v>
      </c>
      <c r="E176" s="15">
        <v>0</v>
      </c>
      <c r="F176" s="12" t="s">
        <v>17</v>
      </c>
      <c r="G176" s="18">
        <v>-104.92665719</v>
      </c>
      <c r="H176" s="18">
        <v>39.706011320000002</v>
      </c>
      <c r="I176" s="15">
        <v>1</v>
      </c>
      <c r="J176" s="15">
        <v>0</v>
      </c>
      <c r="K176" s="15">
        <v>0</v>
      </c>
      <c r="L176" s="12" t="s">
        <v>205</v>
      </c>
    </row>
    <row r="177" spans="1:12">
      <c r="A177" s="16" t="s">
        <v>10</v>
      </c>
      <c r="B177" s="19">
        <v>45657</v>
      </c>
      <c r="C177" s="19">
        <v>45657</v>
      </c>
      <c r="D177" s="20">
        <v>0</v>
      </c>
      <c r="E177" s="20">
        <v>0</v>
      </c>
      <c r="F177" s="16" t="s">
        <v>7</v>
      </c>
      <c r="G177" s="21" t="s">
        <v>110</v>
      </c>
      <c r="H177" s="21" t="s">
        <v>110</v>
      </c>
      <c r="I177" s="20">
        <v>0</v>
      </c>
      <c r="J177" s="20">
        <v>0</v>
      </c>
      <c r="K177" s="20">
        <v>0</v>
      </c>
      <c r="L177" s="16" t="s">
        <v>110</v>
      </c>
    </row>
    <row r="178" spans="1:12">
      <c r="A178" s="12" t="s">
        <v>10</v>
      </c>
      <c r="B178" s="17">
        <v>45657</v>
      </c>
      <c r="C178" s="17">
        <v>45657</v>
      </c>
      <c r="D178" s="15">
        <v>0</v>
      </c>
      <c r="E178" s="15">
        <v>0</v>
      </c>
      <c r="F178" s="12" t="s">
        <v>7</v>
      </c>
      <c r="G178" s="18" t="s">
        <v>110</v>
      </c>
      <c r="H178" s="18" t="s">
        <v>110</v>
      </c>
      <c r="I178" s="15">
        <v>0</v>
      </c>
      <c r="J178" s="15">
        <v>0</v>
      </c>
      <c r="K178" s="15">
        <v>0</v>
      </c>
      <c r="L178" s="12" t="s">
        <v>110</v>
      </c>
    </row>
    <row r="179" spans="1:12">
      <c r="A179" s="16" t="s">
        <v>31</v>
      </c>
      <c r="B179" s="19">
        <v>45657</v>
      </c>
      <c r="C179" s="19">
        <v>45657</v>
      </c>
      <c r="D179" s="20">
        <v>0</v>
      </c>
      <c r="E179" s="20">
        <v>0</v>
      </c>
      <c r="F179" s="16" t="s">
        <v>13</v>
      </c>
      <c r="G179" s="21">
        <v>-104.99648709</v>
      </c>
      <c r="H179" s="21">
        <v>39.679485319999998</v>
      </c>
      <c r="I179" s="20">
        <v>1</v>
      </c>
      <c r="J179" s="20">
        <v>0</v>
      </c>
      <c r="K179" s="20">
        <v>0</v>
      </c>
      <c r="L179" s="16" t="s">
        <v>197</v>
      </c>
    </row>
    <row r="180" spans="1:12">
      <c r="A180" s="12" t="s">
        <v>46</v>
      </c>
      <c r="B180" s="17">
        <v>45657</v>
      </c>
      <c r="C180" s="17">
        <v>45657</v>
      </c>
      <c r="D180" s="15">
        <v>0</v>
      </c>
      <c r="E180" s="15">
        <v>0</v>
      </c>
      <c r="F180" s="12" t="s">
        <v>5</v>
      </c>
      <c r="G180" s="18" t="s">
        <v>110</v>
      </c>
      <c r="H180" s="18" t="s">
        <v>110</v>
      </c>
      <c r="I180" s="15">
        <v>0</v>
      </c>
      <c r="J180" s="15">
        <v>0</v>
      </c>
      <c r="K180" s="15">
        <v>0</v>
      </c>
      <c r="L180" s="12" t="s">
        <v>110</v>
      </c>
    </row>
    <row r="181" spans="1:12">
      <c r="A181" s="16" t="s">
        <v>46</v>
      </c>
      <c r="B181" s="19">
        <v>45657</v>
      </c>
      <c r="C181" s="19">
        <v>45657</v>
      </c>
      <c r="D181" s="20">
        <v>0</v>
      </c>
      <c r="E181" s="20">
        <v>0</v>
      </c>
      <c r="F181" s="16" t="s">
        <v>5</v>
      </c>
      <c r="G181" s="21" t="s">
        <v>110</v>
      </c>
      <c r="H181" s="21" t="s">
        <v>110</v>
      </c>
      <c r="I181" s="20">
        <v>0</v>
      </c>
      <c r="J181" s="20">
        <v>0</v>
      </c>
      <c r="K181" s="20">
        <v>0</v>
      </c>
      <c r="L181" s="16" t="s">
        <v>110</v>
      </c>
    </row>
    <row r="182" spans="1:12">
      <c r="A182" s="12" t="s">
        <v>10</v>
      </c>
      <c r="B182" s="17">
        <v>45657</v>
      </c>
      <c r="C182" s="17">
        <v>45657</v>
      </c>
      <c r="D182" s="15">
        <v>0</v>
      </c>
      <c r="E182" s="15">
        <v>0</v>
      </c>
      <c r="F182" s="12" t="s">
        <v>5</v>
      </c>
      <c r="G182" s="18" t="s">
        <v>110</v>
      </c>
      <c r="H182" s="18" t="s">
        <v>110</v>
      </c>
      <c r="I182" s="15">
        <v>0</v>
      </c>
      <c r="J182" s="15">
        <v>0</v>
      </c>
      <c r="K182" s="15">
        <v>0</v>
      </c>
      <c r="L182" s="12" t="s">
        <v>110</v>
      </c>
    </row>
    <row r="183" spans="1:12">
      <c r="A183" s="16" t="s">
        <v>10</v>
      </c>
      <c r="B183" s="19">
        <v>45657</v>
      </c>
      <c r="C183" s="19">
        <v>45657</v>
      </c>
      <c r="D183" s="20">
        <v>0</v>
      </c>
      <c r="E183" s="20">
        <v>0</v>
      </c>
      <c r="F183" s="16" t="s">
        <v>13</v>
      </c>
      <c r="G183" s="21" t="s">
        <v>110</v>
      </c>
      <c r="H183" s="21" t="s">
        <v>110</v>
      </c>
      <c r="I183" s="20">
        <v>0</v>
      </c>
      <c r="J183" s="20">
        <v>0</v>
      </c>
      <c r="K183" s="20">
        <v>0</v>
      </c>
      <c r="L183" s="16" t="s">
        <v>110</v>
      </c>
    </row>
    <row r="184" spans="1:12">
      <c r="A184" s="12" t="s">
        <v>10</v>
      </c>
      <c r="B184" s="17">
        <v>45657</v>
      </c>
      <c r="C184" s="17">
        <v>45657</v>
      </c>
      <c r="D184" s="15">
        <v>0</v>
      </c>
      <c r="E184" s="15">
        <v>0</v>
      </c>
      <c r="F184" s="12" t="s">
        <v>7</v>
      </c>
      <c r="G184" s="18" t="s">
        <v>110</v>
      </c>
      <c r="H184" s="18" t="s">
        <v>110</v>
      </c>
      <c r="I184" s="15">
        <v>0</v>
      </c>
      <c r="J184" s="15">
        <v>0</v>
      </c>
      <c r="K184" s="15">
        <v>0</v>
      </c>
      <c r="L184" s="12" t="s">
        <v>110</v>
      </c>
    </row>
    <row r="185" spans="1:12">
      <c r="A185" s="16" t="s">
        <v>10</v>
      </c>
      <c r="B185" s="19">
        <v>45657</v>
      </c>
      <c r="C185" s="19">
        <v>45657</v>
      </c>
      <c r="D185" s="20">
        <v>0</v>
      </c>
      <c r="E185" s="20">
        <v>0</v>
      </c>
      <c r="F185" s="16" t="s">
        <v>19</v>
      </c>
      <c r="G185" s="21" t="s">
        <v>110</v>
      </c>
      <c r="H185" s="21" t="s">
        <v>110</v>
      </c>
      <c r="I185" s="20">
        <v>0</v>
      </c>
      <c r="J185" s="20">
        <v>0</v>
      </c>
      <c r="K185" s="20">
        <v>0</v>
      </c>
      <c r="L185" s="16" t="s">
        <v>110</v>
      </c>
    </row>
    <row r="186" spans="1:12">
      <c r="A186" s="12" t="s">
        <v>38</v>
      </c>
      <c r="B186" s="17">
        <v>45657</v>
      </c>
      <c r="C186" s="17" t="s">
        <v>110</v>
      </c>
      <c r="D186" s="15" t="e">
        <v>#N/A</v>
      </c>
      <c r="E186" s="15">
        <v>1</v>
      </c>
      <c r="F186" s="12" t="s">
        <v>13</v>
      </c>
      <c r="G186" s="18">
        <v>-105.048676</v>
      </c>
      <c r="H186" s="18">
        <v>39.738481999999998</v>
      </c>
      <c r="I186" s="15">
        <v>1</v>
      </c>
      <c r="J186" s="15">
        <v>0</v>
      </c>
      <c r="K186" s="15">
        <v>0</v>
      </c>
      <c r="L186" s="12" t="s">
        <v>199</v>
      </c>
    </row>
    <row r="187" spans="1:12">
      <c r="A187" s="16" t="s">
        <v>10</v>
      </c>
      <c r="B187" s="19">
        <v>45657</v>
      </c>
      <c r="C187" s="19">
        <v>45657</v>
      </c>
      <c r="D187" s="20">
        <v>0</v>
      </c>
      <c r="E187" s="20">
        <v>0</v>
      </c>
      <c r="F187" s="16" t="s">
        <v>5</v>
      </c>
      <c r="G187" s="21">
        <v>-105.02217629</v>
      </c>
      <c r="H187" s="21">
        <v>39.792598689999998</v>
      </c>
      <c r="I187" s="20">
        <v>1</v>
      </c>
      <c r="J187" s="20">
        <v>0</v>
      </c>
      <c r="K187" s="20">
        <v>0</v>
      </c>
      <c r="L187" s="16" t="s">
        <v>110</v>
      </c>
    </row>
    <row r="188" spans="1:12">
      <c r="A188" s="12" t="s">
        <v>46</v>
      </c>
      <c r="B188" s="17">
        <v>45657</v>
      </c>
      <c r="C188" s="17">
        <v>45657</v>
      </c>
      <c r="D188" s="15">
        <v>0</v>
      </c>
      <c r="E188" s="15">
        <v>0</v>
      </c>
      <c r="F188" s="12" t="s">
        <v>5</v>
      </c>
      <c r="G188" s="18" t="s">
        <v>110</v>
      </c>
      <c r="H188" s="18" t="s">
        <v>110</v>
      </c>
      <c r="I188" s="15">
        <v>0</v>
      </c>
      <c r="J188" s="15">
        <v>0</v>
      </c>
      <c r="K188" s="15">
        <v>0</v>
      </c>
      <c r="L188" s="12" t="s">
        <v>110</v>
      </c>
    </row>
    <row r="189" spans="1:12">
      <c r="A189" s="16" t="s">
        <v>38</v>
      </c>
      <c r="B189" s="19">
        <v>45657</v>
      </c>
      <c r="C189" s="19" t="s">
        <v>110</v>
      </c>
      <c r="D189" s="20" t="e">
        <v>#N/A</v>
      </c>
      <c r="E189" s="20">
        <v>1</v>
      </c>
      <c r="F189" s="16" t="s">
        <v>23</v>
      </c>
      <c r="G189" s="21" t="s">
        <v>110</v>
      </c>
      <c r="H189" s="21" t="s">
        <v>110</v>
      </c>
      <c r="I189" s="20">
        <v>0</v>
      </c>
      <c r="J189" s="20">
        <v>0</v>
      </c>
      <c r="K189" s="20">
        <v>0</v>
      </c>
      <c r="L189" s="16" t="s">
        <v>110</v>
      </c>
    </row>
    <row r="190" spans="1:12">
      <c r="A190" s="12" t="s">
        <v>4</v>
      </c>
      <c r="B190" s="17">
        <v>45657</v>
      </c>
      <c r="C190" s="17">
        <v>45657</v>
      </c>
      <c r="D190" s="15">
        <v>0</v>
      </c>
      <c r="E190" s="15">
        <v>0</v>
      </c>
      <c r="F190" s="12" t="s">
        <v>5</v>
      </c>
      <c r="G190" s="18" t="s">
        <v>110</v>
      </c>
      <c r="H190" s="18" t="s">
        <v>110</v>
      </c>
      <c r="I190" s="15">
        <v>0</v>
      </c>
      <c r="J190" s="15">
        <v>0</v>
      </c>
      <c r="K190" s="15">
        <v>0</v>
      </c>
      <c r="L190" s="12" t="s">
        <v>110</v>
      </c>
    </row>
    <row r="191" spans="1:12">
      <c r="A191" s="16" t="s">
        <v>4</v>
      </c>
      <c r="B191" s="19">
        <v>45657</v>
      </c>
      <c r="C191" s="19">
        <v>45657</v>
      </c>
      <c r="D191" s="20">
        <v>0</v>
      </c>
      <c r="E191" s="20">
        <v>0</v>
      </c>
      <c r="F191" s="16" t="s">
        <v>5</v>
      </c>
      <c r="G191" s="21" t="s">
        <v>110</v>
      </c>
      <c r="H191" s="21" t="s">
        <v>110</v>
      </c>
      <c r="I191" s="20">
        <v>0</v>
      </c>
      <c r="J191" s="20">
        <v>0</v>
      </c>
      <c r="K191" s="20">
        <v>0</v>
      </c>
      <c r="L191" s="16" t="s">
        <v>110</v>
      </c>
    </row>
    <row r="192" spans="1:12">
      <c r="A192" s="12" t="s">
        <v>4</v>
      </c>
      <c r="B192" s="17">
        <v>45657</v>
      </c>
      <c r="C192" s="17">
        <v>45657</v>
      </c>
      <c r="D192" s="15">
        <v>0</v>
      </c>
      <c r="E192" s="15">
        <v>0</v>
      </c>
      <c r="F192" s="12" t="s">
        <v>5</v>
      </c>
      <c r="G192" s="18" t="s">
        <v>110</v>
      </c>
      <c r="H192" s="18" t="s">
        <v>110</v>
      </c>
      <c r="I192" s="15">
        <v>0</v>
      </c>
      <c r="J192" s="15">
        <v>0</v>
      </c>
      <c r="K192" s="15">
        <v>0</v>
      </c>
      <c r="L192" s="12" t="s">
        <v>110</v>
      </c>
    </row>
    <row r="193" spans="1:12">
      <c r="A193" s="16" t="s">
        <v>46</v>
      </c>
      <c r="B193" s="19">
        <v>45657</v>
      </c>
      <c r="C193" s="19">
        <v>45657</v>
      </c>
      <c r="D193" s="20">
        <v>0</v>
      </c>
      <c r="E193" s="20">
        <v>0</v>
      </c>
      <c r="F193" s="16" t="s">
        <v>7</v>
      </c>
      <c r="G193" s="21" t="s">
        <v>110</v>
      </c>
      <c r="H193" s="21" t="s">
        <v>110</v>
      </c>
      <c r="I193" s="20">
        <v>0</v>
      </c>
      <c r="J193" s="20">
        <v>0</v>
      </c>
      <c r="K193" s="20">
        <v>0</v>
      </c>
      <c r="L193" s="16" t="s">
        <v>110</v>
      </c>
    </row>
    <row r="194" spans="1:12">
      <c r="A194" s="12" t="s">
        <v>27</v>
      </c>
      <c r="B194" s="17">
        <v>45657</v>
      </c>
      <c r="C194" s="17">
        <v>45657</v>
      </c>
      <c r="D194" s="15">
        <v>0</v>
      </c>
      <c r="E194" s="15">
        <v>0</v>
      </c>
      <c r="F194" s="12" t="s">
        <v>96</v>
      </c>
      <c r="G194" s="18" t="s">
        <v>110</v>
      </c>
      <c r="H194" s="18" t="s">
        <v>110</v>
      </c>
      <c r="I194" s="15">
        <v>0</v>
      </c>
      <c r="J194" s="15">
        <v>0</v>
      </c>
      <c r="K194" s="15">
        <v>0</v>
      </c>
      <c r="L194" s="12" t="s">
        <v>110</v>
      </c>
    </row>
    <row r="195" spans="1:12">
      <c r="A195" s="16" t="s">
        <v>27</v>
      </c>
      <c r="B195" s="19">
        <v>45657</v>
      </c>
      <c r="C195" s="19">
        <v>45657</v>
      </c>
      <c r="D195" s="20">
        <v>0</v>
      </c>
      <c r="E195" s="20">
        <v>0</v>
      </c>
      <c r="F195" s="16" t="s">
        <v>7</v>
      </c>
      <c r="G195" s="21" t="s">
        <v>110</v>
      </c>
      <c r="H195" s="21" t="s">
        <v>110</v>
      </c>
      <c r="I195" s="20">
        <v>0</v>
      </c>
      <c r="J195" s="20">
        <v>0</v>
      </c>
      <c r="K195" s="20">
        <v>0</v>
      </c>
      <c r="L195" s="16" t="s">
        <v>110</v>
      </c>
    </row>
    <row r="196" spans="1:12">
      <c r="A196" s="12" t="s">
        <v>10</v>
      </c>
      <c r="B196" s="17">
        <v>45657</v>
      </c>
      <c r="C196" s="17">
        <v>45658</v>
      </c>
      <c r="D196" s="15">
        <v>1</v>
      </c>
      <c r="E196" s="15">
        <v>0</v>
      </c>
      <c r="F196" s="12" t="s">
        <v>5</v>
      </c>
      <c r="G196" s="18">
        <v>-105.00391055</v>
      </c>
      <c r="H196" s="18">
        <v>39.78717803</v>
      </c>
      <c r="I196" s="15">
        <v>1</v>
      </c>
      <c r="J196" s="15">
        <v>0</v>
      </c>
      <c r="K196" s="15">
        <v>0</v>
      </c>
      <c r="L196" s="12" t="s">
        <v>110</v>
      </c>
    </row>
    <row r="197" spans="1:12">
      <c r="A197" s="16" t="s">
        <v>4</v>
      </c>
      <c r="B197" s="19">
        <v>45657</v>
      </c>
      <c r="C197" s="19">
        <v>45657</v>
      </c>
      <c r="D197" s="20">
        <v>0</v>
      </c>
      <c r="E197" s="20">
        <v>0</v>
      </c>
      <c r="F197" s="16" t="s">
        <v>5</v>
      </c>
      <c r="G197" s="21">
        <v>-105.04828196</v>
      </c>
      <c r="H197" s="21">
        <v>39.726600169999998</v>
      </c>
      <c r="I197" s="20">
        <v>1</v>
      </c>
      <c r="J197" s="20">
        <v>0</v>
      </c>
      <c r="K197" s="20">
        <v>0</v>
      </c>
      <c r="L197" s="16" t="s">
        <v>199</v>
      </c>
    </row>
    <row r="198" spans="1:12">
      <c r="A198" s="12" t="s">
        <v>38</v>
      </c>
      <c r="B198" s="17">
        <v>45657</v>
      </c>
      <c r="C198" s="17" t="s">
        <v>110</v>
      </c>
      <c r="D198" s="15" t="e">
        <v>#N/A</v>
      </c>
      <c r="E198" s="15">
        <v>1</v>
      </c>
      <c r="F198" s="12" t="s">
        <v>96</v>
      </c>
      <c r="G198" s="18" t="s">
        <v>110</v>
      </c>
      <c r="H198" s="18" t="s">
        <v>110</v>
      </c>
      <c r="I198" s="15">
        <v>0</v>
      </c>
      <c r="J198" s="15">
        <v>0</v>
      </c>
      <c r="K198" s="15">
        <v>0</v>
      </c>
      <c r="L198" s="12" t="s">
        <v>110</v>
      </c>
    </row>
    <row r="199" spans="1:12">
      <c r="A199" s="16" t="s">
        <v>46</v>
      </c>
      <c r="B199" s="19">
        <v>45657</v>
      </c>
      <c r="C199" s="19">
        <v>45657</v>
      </c>
      <c r="D199" s="20">
        <v>0</v>
      </c>
      <c r="E199" s="20">
        <v>0</v>
      </c>
      <c r="F199" s="16" t="s">
        <v>17</v>
      </c>
      <c r="G199" s="21" t="s">
        <v>110</v>
      </c>
      <c r="H199" s="21" t="s">
        <v>110</v>
      </c>
      <c r="I199" s="20">
        <v>0</v>
      </c>
      <c r="J199" s="20">
        <v>0</v>
      </c>
      <c r="K199" s="20">
        <v>0</v>
      </c>
      <c r="L199" s="16" t="s">
        <v>110</v>
      </c>
    </row>
    <row r="200" spans="1:12">
      <c r="A200" s="12" t="s">
        <v>10</v>
      </c>
      <c r="B200" s="17">
        <v>45657</v>
      </c>
      <c r="C200" s="17">
        <v>45657</v>
      </c>
      <c r="D200" s="15">
        <v>0</v>
      </c>
      <c r="E200" s="15">
        <v>0</v>
      </c>
      <c r="F200" s="12" t="s">
        <v>19</v>
      </c>
      <c r="G200" s="18" t="s">
        <v>110</v>
      </c>
      <c r="H200" s="18" t="s">
        <v>110</v>
      </c>
      <c r="I200" s="15">
        <v>0</v>
      </c>
      <c r="J200" s="15">
        <v>0</v>
      </c>
      <c r="K200" s="15">
        <v>0</v>
      </c>
      <c r="L200" s="12" t="s">
        <v>110</v>
      </c>
    </row>
    <row r="201" spans="1:12">
      <c r="A201" s="16" t="s">
        <v>4</v>
      </c>
      <c r="B201" s="19">
        <v>45657</v>
      </c>
      <c r="C201" s="19">
        <v>45657</v>
      </c>
      <c r="D201" s="20">
        <v>0</v>
      </c>
      <c r="E201" s="20">
        <v>0</v>
      </c>
      <c r="F201" s="16" t="s">
        <v>5</v>
      </c>
      <c r="G201" s="21">
        <v>-104.97277719</v>
      </c>
      <c r="H201" s="21">
        <v>39.764242469999999</v>
      </c>
      <c r="I201" s="20">
        <v>1</v>
      </c>
      <c r="J201" s="20">
        <v>0</v>
      </c>
      <c r="K201" s="20">
        <v>0</v>
      </c>
      <c r="L201" s="16" t="s">
        <v>206</v>
      </c>
    </row>
    <row r="202" spans="1:12">
      <c r="A202" s="12" t="s">
        <v>10</v>
      </c>
      <c r="B202" s="17">
        <v>45657</v>
      </c>
      <c r="C202" s="17">
        <v>45657</v>
      </c>
      <c r="D202" s="15">
        <v>0</v>
      </c>
      <c r="E202" s="15">
        <v>0</v>
      </c>
      <c r="F202" s="12" t="s">
        <v>7</v>
      </c>
      <c r="G202" s="18" t="s">
        <v>110</v>
      </c>
      <c r="H202" s="18" t="s">
        <v>110</v>
      </c>
      <c r="I202" s="15">
        <v>0</v>
      </c>
      <c r="J202" s="15">
        <v>0</v>
      </c>
      <c r="K202" s="15">
        <v>0</v>
      </c>
      <c r="L202" s="12" t="s">
        <v>110</v>
      </c>
    </row>
    <row r="203" spans="1:12">
      <c r="A203" s="16" t="s">
        <v>46</v>
      </c>
      <c r="B203" s="19">
        <v>45657</v>
      </c>
      <c r="C203" s="19">
        <v>45659</v>
      </c>
      <c r="D203" s="20">
        <v>2</v>
      </c>
      <c r="E203" s="20">
        <v>0</v>
      </c>
      <c r="F203" s="16" t="s">
        <v>13</v>
      </c>
      <c r="G203" s="21">
        <v>-104.98655246</v>
      </c>
      <c r="H203" s="21">
        <v>39.71190584</v>
      </c>
      <c r="I203" s="20">
        <v>1</v>
      </c>
      <c r="J203" s="20">
        <v>0</v>
      </c>
      <c r="K203" s="20">
        <v>0</v>
      </c>
      <c r="L203" s="16" t="s">
        <v>197</v>
      </c>
    </row>
    <row r="204" spans="1:12">
      <c r="A204" s="12" t="s">
        <v>10</v>
      </c>
      <c r="B204" s="17">
        <v>45657</v>
      </c>
      <c r="C204" s="17">
        <v>45657</v>
      </c>
      <c r="D204" s="15">
        <v>0</v>
      </c>
      <c r="E204" s="15">
        <v>0</v>
      </c>
      <c r="F204" s="12" t="s">
        <v>5</v>
      </c>
      <c r="G204" s="18" t="s">
        <v>110</v>
      </c>
      <c r="H204" s="18" t="s">
        <v>110</v>
      </c>
      <c r="I204" s="15">
        <v>0</v>
      </c>
      <c r="J204" s="15">
        <v>0</v>
      </c>
      <c r="K204" s="15">
        <v>0</v>
      </c>
      <c r="L204" s="12" t="s">
        <v>110</v>
      </c>
    </row>
    <row r="205" spans="1:12">
      <c r="A205" s="16" t="s">
        <v>46</v>
      </c>
      <c r="B205" s="19">
        <v>45657</v>
      </c>
      <c r="C205" s="19">
        <v>45657</v>
      </c>
      <c r="D205" s="20">
        <v>0</v>
      </c>
      <c r="E205" s="20">
        <v>0</v>
      </c>
      <c r="F205" s="16" t="s">
        <v>9</v>
      </c>
      <c r="G205" s="21" t="s">
        <v>110</v>
      </c>
      <c r="H205" s="21" t="s">
        <v>110</v>
      </c>
      <c r="I205" s="20">
        <v>0</v>
      </c>
      <c r="J205" s="20">
        <v>0</v>
      </c>
      <c r="K205" s="20">
        <v>0</v>
      </c>
      <c r="L205" s="16" t="s">
        <v>110</v>
      </c>
    </row>
    <row r="206" spans="1:12">
      <c r="A206" s="12" t="s">
        <v>46</v>
      </c>
      <c r="B206" s="17">
        <v>45657</v>
      </c>
      <c r="C206" s="17">
        <v>45674</v>
      </c>
      <c r="D206" s="15">
        <v>17</v>
      </c>
      <c r="E206" s="15">
        <v>0</v>
      </c>
      <c r="F206" s="12" t="s">
        <v>17</v>
      </c>
      <c r="G206" s="18" t="s">
        <v>110</v>
      </c>
      <c r="H206" s="18" t="s">
        <v>110</v>
      </c>
      <c r="I206" s="15">
        <v>0</v>
      </c>
      <c r="J206" s="15">
        <v>0</v>
      </c>
      <c r="K206" s="15">
        <v>0</v>
      </c>
      <c r="L206" s="12" t="s">
        <v>110</v>
      </c>
    </row>
    <row r="207" spans="1:12">
      <c r="A207" s="16" t="s">
        <v>38</v>
      </c>
      <c r="B207" s="19">
        <v>45657</v>
      </c>
      <c r="C207" s="19" t="s">
        <v>110</v>
      </c>
      <c r="D207" s="20" t="e">
        <v>#N/A</v>
      </c>
      <c r="E207" s="20">
        <v>1</v>
      </c>
      <c r="F207" s="16" t="s">
        <v>15</v>
      </c>
      <c r="G207" s="21" t="s">
        <v>110</v>
      </c>
      <c r="H207" s="21" t="s">
        <v>110</v>
      </c>
      <c r="I207" s="20">
        <v>0</v>
      </c>
      <c r="J207" s="20">
        <v>0</v>
      </c>
      <c r="K207" s="20">
        <v>0</v>
      </c>
      <c r="L207" s="16" t="s">
        <v>110</v>
      </c>
    </row>
    <row r="208" spans="1:12">
      <c r="A208" s="12" t="s">
        <v>4</v>
      </c>
      <c r="B208" s="17">
        <v>45657</v>
      </c>
      <c r="C208" s="17">
        <v>45657</v>
      </c>
      <c r="D208" s="15">
        <v>0</v>
      </c>
      <c r="E208" s="15">
        <v>0</v>
      </c>
      <c r="F208" s="12" t="s">
        <v>5</v>
      </c>
      <c r="G208" s="18" t="s">
        <v>110</v>
      </c>
      <c r="H208" s="18" t="s">
        <v>110</v>
      </c>
      <c r="I208" s="15">
        <v>0</v>
      </c>
      <c r="J208" s="15">
        <v>0</v>
      </c>
      <c r="K208" s="15">
        <v>0</v>
      </c>
      <c r="L208" s="12" t="s">
        <v>110</v>
      </c>
    </row>
    <row r="209" spans="1:12">
      <c r="A209" s="16" t="s">
        <v>10</v>
      </c>
      <c r="B209" s="19">
        <v>45657</v>
      </c>
      <c r="C209" s="19">
        <v>45657</v>
      </c>
      <c r="D209" s="20">
        <v>0</v>
      </c>
      <c r="E209" s="20">
        <v>0</v>
      </c>
      <c r="F209" s="16" t="s">
        <v>9</v>
      </c>
      <c r="G209" s="21" t="s">
        <v>110</v>
      </c>
      <c r="H209" s="21" t="s">
        <v>110</v>
      </c>
      <c r="I209" s="20">
        <v>0</v>
      </c>
      <c r="J209" s="20">
        <v>0</v>
      </c>
      <c r="K209" s="20">
        <v>0</v>
      </c>
      <c r="L209" s="16" t="s">
        <v>110</v>
      </c>
    </row>
    <row r="210" spans="1:12">
      <c r="A210" s="12" t="s">
        <v>46</v>
      </c>
      <c r="B210" s="17">
        <v>45657</v>
      </c>
      <c r="C210" s="17">
        <v>45659</v>
      </c>
      <c r="D210" s="15">
        <v>2</v>
      </c>
      <c r="E210" s="15">
        <v>0</v>
      </c>
      <c r="F210" s="12" t="s">
        <v>13</v>
      </c>
      <c r="G210" s="18">
        <v>-104.886123</v>
      </c>
      <c r="H210" s="18">
        <v>39.780954000000001</v>
      </c>
      <c r="I210" s="15">
        <v>1</v>
      </c>
      <c r="J210" s="15">
        <v>0</v>
      </c>
      <c r="K210" s="15">
        <v>0</v>
      </c>
      <c r="L210" s="12" t="s">
        <v>201</v>
      </c>
    </row>
    <row r="211" spans="1:12">
      <c r="A211" s="16" t="s">
        <v>46</v>
      </c>
      <c r="B211" s="19">
        <v>45657</v>
      </c>
      <c r="C211" s="19">
        <v>45660</v>
      </c>
      <c r="D211" s="20">
        <v>3</v>
      </c>
      <c r="E211" s="20">
        <v>0</v>
      </c>
      <c r="F211" s="16" t="s">
        <v>17</v>
      </c>
      <c r="G211" s="21" t="s">
        <v>110</v>
      </c>
      <c r="H211" s="21" t="s">
        <v>110</v>
      </c>
      <c r="I211" s="20">
        <v>0</v>
      </c>
      <c r="J211" s="20">
        <v>0</v>
      </c>
      <c r="K211" s="20">
        <v>0</v>
      </c>
      <c r="L211" s="16" t="s">
        <v>110</v>
      </c>
    </row>
    <row r="212" spans="1:12">
      <c r="A212" s="12" t="s">
        <v>46</v>
      </c>
      <c r="B212" s="17">
        <v>45657</v>
      </c>
      <c r="C212" s="17">
        <v>45657</v>
      </c>
      <c r="D212" s="15">
        <v>0</v>
      </c>
      <c r="E212" s="15">
        <v>0</v>
      </c>
      <c r="F212" s="12" t="s">
        <v>5</v>
      </c>
      <c r="G212" s="18" t="s">
        <v>110</v>
      </c>
      <c r="H212" s="18" t="s">
        <v>110</v>
      </c>
      <c r="I212" s="15">
        <v>0</v>
      </c>
      <c r="J212" s="15">
        <v>0</v>
      </c>
      <c r="K212" s="15">
        <v>0</v>
      </c>
      <c r="L212" s="12" t="s">
        <v>110</v>
      </c>
    </row>
    <row r="213" spans="1:12">
      <c r="A213" s="16" t="s">
        <v>10</v>
      </c>
      <c r="B213" s="19">
        <v>45657</v>
      </c>
      <c r="C213" s="19">
        <v>45657</v>
      </c>
      <c r="D213" s="20">
        <v>0</v>
      </c>
      <c r="E213" s="20">
        <v>0</v>
      </c>
      <c r="F213" s="16" t="s">
        <v>96</v>
      </c>
      <c r="G213" s="21" t="s">
        <v>110</v>
      </c>
      <c r="H213" s="21" t="s">
        <v>110</v>
      </c>
      <c r="I213" s="20">
        <v>0</v>
      </c>
      <c r="J213" s="20">
        <v>0</v>
      </c>
      <c r="K213" s="20">
        <v>0</v>
      </c>
      <c r="L213" s="16" t="s">
        <v>110</v>
      </c>
    </row>
    <row r="214" spans="1:12">
      <c r="A214" s="12" t="s">
        <v>4</v>
      </c>
      <c r="B214" s="17">
        <v>45657</v>
      </c>
      <c r="C214" s="17">
        <v>45657</v>
      </c>
      <c r="D214" s="15">
        <v>0</v>
      </c>
      <c r="E214" s="15">
        <v>0</v>
      </c>
      <c r="F214" s="12" t="s">
        <v>5</v>
      </c>
      <c r="G214" s="18" t="s">
        <v>110</v>
      </c>
      <c r="H214" s="18" t="s">
        <v>110</v>
      </c>
      <c r="I214" s="15">
        <v>0</v>
      </c>
      <c r="J214" s="15">
        <v>0</v>
      </c>
      <c r="K214" s="15">
        <v>0</v>
      </c>
      <c r="L214" s="12" t="s">
        <v>110</v>
      </c>
    </row>
    <row r="215" spans="1:12">
      <c r="A215" s="16" t="s">
        <v>46</v>
      </c>
      <c r="B215" s="19">
        <v>45657</v>
      </c>
      <c r="C215" s="19">
        <v>45657</v>
      </c>
      <c r="D215" s="20">
        <v>0</v>
      </c>
      <c r="E215" s="20">
        <v>0</v>
      </c>
      <c r="F215" s="16" t="s">
        <v>9</v>
      </c>
      <c r="G215" s="21" t="s">
        <v>110</v>
      </c>
      <c r="H215" s="21" t="s">
        <v>110</v>
      </c>
      <c r="I215" s="20">
        <v>0</v>
      </c>
      <c r="J215" s="20">
        <v>0</v>
      </c>
      <c r="K215" s="20">
        <v>0</v>
      </c>
      <c r="L215" s="16" t="s">
        <v>110</v>
      </c>
    </row>
    <row r="216" spans="1:12">
      <c r="A216" s="12" t="s">
        <v>10</v>
      </c>
      <c r="B216" s="17">
        <v>45657</v>
      </c>
      <c r="C216" s="17">
        <v>45657</v>
      </c>
      <c r="D216" s="15">
        <v>0</v>
      </c>
      <c r="E216" s="15">
        <v>0</v>
      </c>
      <c r="F216" s="12" t="s">
        <v>13</v>
      </c>
      <c r="G216" s="18" t="s">
        <v>110</v>
      </c>
      <c r="H216" s="18" t="s">
        <v>110</v>
      </c>
      <c r="I216" s="15">
        <v>0</v>
      </c>
      <c r="J216" s="15">
        <v>0</v>
      </c>
      <c r="K216" s="15">
        <v>0</v>
      </c>
      <c r="L216" s="12" t="s">
        <v>110</v>
      </c>
    </row>
    <row r="217" spans="1:12">
      <c r="A217" s="16" t="s">
        <v>46</v>
      </c>
      <c r="B217" s="19">
        <v>45657</v>
      </c>
      <c r="C217" s="19">
        <v>45674</v>
      </c>
      <c r="D217" s="20">
        <v>17</v>
      </c>
      <c r="E217" s="20">
        <v>0</v>
      </c>
      <c r="F217" s="16" t="s">
        <v>17</v>
      </c>
      <c r="G217" s="21" t="s">
        <v>110</v>
      </c>
      <c r="H217" s="21" t="s">
        <v>110</v>
      </c>
      <c r="I217" s="20">
        <v>0</v>
      </c>
      <c r="J217" s="20">
        <v>0</v>
      </c>
      <c r="K217" s="20">
        <v>0</v>
      </c>
      <c r="L217" s="16" t="s">
        <v>110</v>
      </c>
    </row>
    <row r="218" spans="1:12">
      <c r="A218" s="12" t="s">
        <v>10</v>
      </c>
      <c r="B218" s="17">
        <v>45657</v>
      </c>
      <c r="C218" s="17">
        <v>45657</v>
      </c>
      <c r="D218" s="15">
        <v>0</v>
      </c>
      <c r="E218" s="15">
        <v>0</v>
      </c>
      <c r="F218" s="12" t="s">
        <v>7</v>
      </c>
      <c r="G218" s="18" t="s">
        <v>110</v>
      </c>
      <c r="H218" s="18" t="s">
        <v>110</v>
      </c>
      <c r="I218" s="15">
        <v>0</v>
      </c>
      <c r="J218" s="15">
        <v>0</v>
      </c>
      <c r="K218" s="15">
        <v>0</v>
      </c>
      <c r="L218" s="12" t="s">
        <v>110</v>
      </c>
    </row>
    <row r="219" spans="1:12">
      <c r="A219" s="16" t="s">
        <v>27</v>
      </c>
      <c r="B219" s="19">
        <v>45657</v>
      </c>
      <c r="C219" s="19">
        <v>45657</v>
      </c>
      <c r="D219" s="20">
        <v>0</v>
      </c>
      <c r="E219" s="20">
        <v>0</v>
      </c>
      <c r="F219" s="16" t="s">
        <v>26</v>
      </c>
      <c r="G219" s="21" t="s">
        <v>110</v>
      </c>
      <c r="H219" s="21" t="s">
        <v>110</v>
      </c>
      <c r="I219" s="20">
        <v>0</v>
      </c>
      <c r="J219" s="20">
        <v>0</v>
      </c>
      <c r="K219" s="20">
        <v>0</v>
      </c>
      <c r="L219" s="16" t="s">
        <v>110</v>
      </c>
    </row>
    <row r="220" spans="1:12">
      <c r="A220" s="12" t="s">
        <v>46</v>
      </c>
      <c r="B220" s="17">
        <v>45657</v>
      </c>
      <c r="C220" s="17">
        <v>45657</v>
      </c>
      <c r="D220" s="15">
        <v>0</v>
      </c>
      <c r="E220" s="15">
        <v>0</v>
      </c>
      <c r="F220" s="12" t="s">
        <v>9</v>
      </c>
      <c r="G220" s="18" t="s">
        <v>110</v>
      </c>
      <c r="H220" s="18" t="s">
        <v>110</v>
      </c>
      <c r="I220" s="15">
        <v>0</v>
      </c>
      <c r="J220" s="15">
        <v>0</v>
      </c>
      <c r="K220" s="15">
        <v>0</v>
      </c>
      <c r="L220" s="12" t="s">
        <v>110</v>
      </c>
    </row>
    <row r="221" spans="1:12">
      <c r="A221" s="16" t="s">
        <v>46</v>
      </c>
      <c r="B221" s="19">
        <v>45657</v>
      </c>
      <c r="C221" s="19">
        <v>45657</v>
      </c>
      <c r="D221" s="20">
        <v>0</v>
      </c>
      <c r="E221" s="20">
        <v>0</v>
      </c>
      <c r="F221" s="16" t="s">
        <v>5</v>
      </c>
      <c r="G221" s="21" t="s">
        <v>110</v>
      </c>
      <c r="H221" s="21" t="s">
        <v>110</v>
      </c>
      <c r="I221" s="20">
        <v>0</v>
      </c>
      <c r="J221" s="20">
        <v>0</v>
      </c>
      <c r="K221" s="20">
        <v>0</v>
      </c>
      <c r="L221" s="16" t="s">
        <v>110</v>
      </c>
    </row>
    <row r="222" spans="1:12">
      <c r="A222" s="12" t="s">
        <v>46</v>
      </c>
      <c r="B222" s="17">
        <v>45657</v>
      </c>
      <c r="C222" s="17">
        <v>45657</v>
      </c>
      <c r="D222" s="15">
        <v>0</v>
      </c>
      <c r="E222" s="15">
        <v>0</v>
      </c>
      <c r="F222" s="12" t="s">
        <v>96</v>
      </c>
      <c r="G222" s="18" t="s">
        <v>110</v>
      </c>
      <c r="H222" s="18" t="s">
        <v>110</v>
      </c>
      <c r="I222" s="15">
        <v>0</v>
      </c>
      <c r="J222" s="15">
        <v>0</v>
      </c>
      <c r="K222" s="15">
        <v>0</v>
      </c>
      <c r="L222" s="12" t="s">
        <v>110</v>
      </c>
    </row>
    <row r="223" spans="1:12">
      <c r="A223" s="16" t="s">
        <v>10</v>
      </c>
      <c r="B223" s="19">
        <v>45657</v>
      </c>
      <c r="C223" s="19">
        <v>45657</v>
      </c>
      <c r="D223" s="20">
        <v>0</v>
      </c>
      <c r="E223" s="20">
        <v>0</v>
      </c>
      <c r="F223" s="16" t="s">
        <v>13</v>
      </c>
      <c r="G223" s="21" t="s">
        <v>110</v>
      </c>
      <c r="H223" s="21" t="s">
        <v>110</v>
      </c>
      <c r="I223" s="20">
        <v>0</v>
      </c>
      <c r="J223" s="20">
        <v>0</v>
      </c>
      <c r="K223" s="20">
        <v>0</v>
      </c>
      <c r="L223" s="16" t="s">
        <v>110</v>
      </c>
    </row>
    <row r="224" spans="1:12">
      <c r="A224" s="12" t="s">
        <v>46</v>
      </c>
      <c r="B224" s="17">
        <v>45657</v>
      </c>
      <c r="C224" s="17">
        <v>45657</v>
      </c>
      <c r="D224" s="15">
        <v>0</v>
      </c>
      <c r="E224" s="15">
        <v>0</v>
      </c>
      <c r="F224" s="12" t="s">
        <v>5</v>
      </c>
      <c r="G224" s="18" t="s">
        <v>110</v>
      </c>
      <c r="H224" s="18" t="s">
        <v>110</v>
      </c>
      <c r="I224" s="15">
        <v>0</v>
      </c>
      <c r="J224" s="15">
        <v>0</v>
      </c>
      <c r="K224" s="15">
        <v>0</v>
      </c>
      <c r="L224" s="12" t="s">
        <v>110</v>
      </c>
    </row>
    <row r="225" spans="1:12">
      <c r="A225" s="16" t="s">
        <v>10</v>
      </c>
      <c r="B225" s="19">
        <v>45657</v>
      </c>
      <c r="C225" s="19">
        <v>45657</v>
      </c>
      <c r="D225" s="20">
        <v>0</v>
      </c>
      <c r="E225" s="20">
        <v>0</v>
      </c>
      <c r="F225" s="16" t="s">
        <v>7</v>
      </c>
      <c r="G225" s="21" t="s">
        <v>110</v>
      </c>
      <c r="H225" s="21" t="s">
        <v>110</v>
      </c>
      <c r="I225" s="20">
        <v>0</v>
      </c>
      <c r="J225" s="20">
        <v>0</v>
      </c>
      <c r="K225" s="20">
        <v>0</v>
      </c>
      <c r="L225" s="16" t="s">
        <v>110</v>
      </c>
    </row>
    <row r="226" spans="1:12">
      <c r="A226" s="12" t="s">
        <v>10</v>
      </c>
      <c r="B226" s="17">
        <v>45657</v>
      </c>
      <c r="C226" s="17">
        <v>45657</v>
      </c>
      <c r="D226" s="15">
        <v>0</v>
      </c>
      <c r="E226" s="15">
        <v>0</v>
      </c>
      <c r="F226" s="12" t="s">
        <v>7</v>
      </c>
      <c r="G226" s="18" t="s">
        <v>110</v>
      </c>
      <c r="H226" s="18" t="s">
        <v>110</v>
      </c>
      <c r="I226" s="15">
        <v>0</v>
      </c>
      <c r="J226" s="15">
        <v>0</v>
      </c>
      <c r="K226" s="15">
        <v>0</v>
      </c>
      <c r="L226" s="12" t="s">
        <v>110</v>
      </c>
    </row>
    <row r="227" spans="1:12">
      <c r="A227" s="16" t="s">
        <v>4</v>
      </c>
      <c r="B227" s="19">
        <v>45657</v>
      </c>
      <c r="C227" s="19">
        <v>45657</v>
      </c>
      <c r="D227" s="20">
        <v>0</v>
      </c>
      <c r="E227" s="20">
        <v>0</v>
      </c>
      <c r="F227" s="16" t="s">
        <v>5</v>
      </c>
      <c r="G227" s="21" t="s">
        <v>110</v>
      </c>
      <c r="H227" s="21" t="s">
        <v>110</v>
      </c>
      <c r="I227" s="20">
        <v>0</v>
      </c>
      <c r="J227" s="20">
        <v>0</v>
      </c>
      <c r="K227" s="20">
        <v>0</v>
      </c>
      <c r="L227" s="16" t="s">
        <v>110</v>
      </c>
    </row>
    <row r="228" spans="1:12">
      <c r="A228" s="12" t="s">
        <v>46</v>
      </c>
      <c r="B228" s="17">
        <v>45657</v>
      </c>
      <c r="C228" s="17">
        <v>45657</v>
      </c>
      <c r="D228" s="15">
        <v>0</v>
      </c>
      <c r="E228" s="15">
        <v>0</v>
      </c>
      <c r="F228" s="12" t="s">
        <v>17</v>
      </c>
      <c r="G228" s="18" t="s">
        <v>110</v>
      </c>
      <c r="H228" s="18" t="s">
        <v>110</v>
      </c>
      <c r="I228" s="15">
        <v>0</v>
      </c>
      <c r="J228" s="15">
        <v>0</v>
      </c>
      <c r="K228" s="15">
        <v>0</v>
      </c>
      <c r="L228" s="12" t="s">
        <v>110</v>
      </c>
    </row>
    <row r="229" spans="1:12">
      <c r="A229" s="16" t="s">
        <v>46</v>
      </c>
      <c r="B229" s="19">
        <v>45657</v>
      </c>
      <c r="C229" s="19">
        <v>45657</v>
      </c>
      <c r="D229" s="20">
        <v>0</v>
      </c>
      <c r="E229" s="20">
        <v>0</v>
      </c>
      <c r="F229" s="16" t="s">
        <v>5</v>
      </c>
      <c r="G229" s="21" t="s">
        <v>110</v>
      </c>
      <c r="H229" s="21" t="s">
        <v>110</v>
      </c>
      <c r="I229" s="20">
        <v>0</v>
      </c>
      <c r="J229" s="20">
        <v>0</v>
      </c>
      <c r="K229" s="20">
        <v>0</v>
      </c>
      <c r="L229" s="16" t="s">
        <v>110</v>
      </c>
    </row>
    <row r="230" spans="1:12">
      <c r="A230" s="12" t="s">
        <v>38</v>
      </c>
      <c r="B230" s="17">
        <v>45657</v>
      </c>
      <c r="C230" s="17" t="s">
        <v>110</v>
      </c>
      <c r="D230" s="15" t="e">
        <v>#N/A</v>
      </c>
      <c r="E230" s="15">
        <v>1</v>
      </c>
      <c r="F230" s="12" t="s">
        <v>23</v>
      </c>
      <c r="G230" s="18" t="s">
        <v>110</v>
      </c>
      <c r="H230" s="18" t="s">
        <v>110</v>
      </c>
      <c r="I230" s="15">
        <v>0</v>
      </c>
      <c r="J230" s="15">
        <v>0</v>
      </c>
      <c r="K230" s="15">
        <v>0</v>
      </c>
      <c r="L230" s="12" t="s">
        <v>110</v>
      </c>
    </row>
    <row r="231" spans="1:12">
      <c r="A231" s="16" t="s">
        <v>10</v>
      </c>
      <c r="B231" s="19">
        <v>45657</v>
      </c>
      <c r="C231" s="19">
        <v>45657</v>
      </c>
      <c r="D231" s="20">
        <v>0</v>
      </c>
      <c r="E231" s="20">
        <v>0</v>
      </c>
      <c r="F231" s="16" t="s">
        <v>96</v>
      </c>
      <c r="G231" s="21" t="s">
        <v>110</v>
      </c>
      <c r="H231" s="21" t="s">
        <v>110</v>
      </c>
      <c r="I231" s="20">
        <v>0</v>
      </c>
      <c r="J231" s="20">
        <v>0</v>
      </c>
      <c r="K231" s="20">
        <v>0</v>
      </c>
      <c r="L231" s="16" t="s">
        <v>110</v>
      </c>
    </row>
    <row r="232" spans="1:12">
      <c r="A232" s="12" t="s">
        <v>33</v>
      </c>
      <c r="B232" s="17">
        <v>45657</v>
      </c>
      <c r="C232" s="17">
        <v>45660</v>
      </c>
      <c r="D232" s="15">
        <v>3</v>
      </c>
      <c r="E232" s="15">
        <v>0</v>
      </c>
      <c r="F232" s="12" t="s">
        <v>9</v>
      </c>
      <c r="G232" s="18">
        <v>-104.90419204</v>
      </c>
      <c r="H232" s="18">
        <v>39.676081869999997</v>
      </c>
      <c r="I232" s="15">
        <v>1</v>
      </c>
      <c r="J232" s="15">
        <v>0</v>
      </c>
      <c r="K232" s="15">
        <v>0</v>
      </c>
      <c r="L232" s="12" t="s">
        <v>203</v>
      </c>
    </row>
    <row r="233" spans="1:12">
      <c r="A233" s="16" t="s">
        <v>38</v>
      </c>
      <c r="B233" s="19">
        <v>45657</v>
      </c>
      <c r="C233" s="19" t="s">
        <v>110</v>
      </c>
      <c r="D233" s="20" t="e">
        <v>#N/A</v>
      </c>
      <c r="E233" s="20">
        <v>1</v>
      </c>
      <c r="F233" s="16" t="s">
        <v>15</v>
      </c>
      <c r="G233" s="21" t="s">
        <v>110</v>
      </c>
      <c r="H233" s="21" t="s">
        <v>110</v>
      </c>
      <c r="I233" s="20">
        <v>0</v>
      </c>
      <c r="J233" s="20">
        <v>0</v>
      </c>
      <c r="K233" s="20">
        <v>0</v>
      </c>
      <c r="L233" s="16" t="s">
        <v>110</v>
      </c>
    </row>
    <row r="234" spans="1:12">
      <c r="A234" s="12" t="s">
        <v>10</v>
      </c>
      <c r="B234" s="17">
        <v>45657</v>
      </c>
      <c r="C234" s="17">
        <v>45657</v>
      </c>
      <c r="D234" s="15">
        <v>0</v>
      </c>
      <c r="E234" s="15">
        <v>0</v>
      </c>
      <c r="F234" s="12" t="s">
        <v>7</v>
      </c>
      <c r="G234" s="18" t="s">
        <v>110</v>
      </c>
      <c r="H234" s="18" t="s">
        <v>110</v>
      </c>
      <c r="I234" s="15">
        <v>0</v>
      </c>
      <c r="J234" s="15">
        <v>0</v>
      </c>
      <c r="K234" s="15">
        <v>0</v>
      </c>
      <c r="L234" s="12" t="s">
        <v>110</v>
      </c>
    </row>
    <row r="235" spans="1:12">
      <c r="A235" s="16" t="s">
        <v>4</v>
      </c>
      <c r="B235" s="19">
        <v>45657</v>
      </c>
      <c r="C235" s="19">
        <v>45657</v>
      </c>
      <c r="D235" s="20">
        <v>0</v>
      </c>
      <c r="E235" s="20">
        <v>0</v>
      </c>
      <c r="F235" s="16" t="s">
        <v>5</v>
      </c>
      <c r="G235" s="21">
        <v>-105.02585637</v>
      </c>
      <c r="H235" s="21">
        <v>39.674819249999999</v>
      </c>
      <c r="I235" s="20">
        <v>1</v>
      </c>
      <c r="J235" s="20">
        <v>0</v>
      </c>
      <c r="K235" s="20">
        <v>0</v>
      </c>
      <c r="L235" s="16" t="s">
        <v>207</v>
      </c>
    </row>
    <row r="236" spans="1:12">
      <c r="A236" s="12" t="s">
        <v>46</v>
      </c>
      <c r="B236" s="17">
        <v>45657</v>
      </c>
      <c r="C236" s="17">
        <v>45657</v>
      </c>
      <c r="D236" s="15">
        <v>0</v>
      </c>
      <c r="E236" s="15">
        <v>0</v>
      </c>
      <c r="F236" s="12" t="s">
        <v>13</v>
      </c>
      <c r="G236" s="18" t="s">
        <v>110</v>
      </c>
      <c r="H236" s="18" t="s">
        <v>110</v>
      </c>
      <c r="I236" s="15">
        <v>0</v>
      </c>
      <c r="J236" s="15">
        <v>0</v>
      </c>
      <c r="K236" s="15">
        <v>0</v>
      </c>
      <c r="L236" s="12" t="s">
        <v>110</v>
      </c>
    </row>
    <row r="237" spans="1:12">
      <c r="A237" s="16" t="s">
        <v>10</v>
      </c>
      <c r="B237" s="19">
        <v>45657</v>
      </c>
      <c r="C237" s="19">
        <v>45657</v>
      </c>
      <c r="D237" s="20">
        <v>0</v>
      </c>
      <c r="E237" s="20">
        <v>0</v>
      </c>
      <c r="F237" s="16" t="s">
        <v>7</v>
      </c>
      <c r="G237" s="21" t="s">
        <v>110</v>
      </c>
      <c r="H237" s="21" t="s">
        <v>110</v>
      </c>
      <c r="I237" s="20">
        <v>0</v>
      </c>
      <c r="J237" s="20">
        <v>0</v>
      </c>
      <c r="K237" s="20">
        <v>0</v>
      </c>
      <c r="L237" s="16" t="s">
        <v>110</v>
      </c>
    </row>
    <row r="238" spans="1:12">
      <c r="A238" s="12" t="s">
        <v>10</v>
      </c>
      <c r="B238" s="17">
        <v>45657</v>
      </c>
      <c r="C238" s="17">
        <v>45657</v>
      </c>
      <c r="D238" s="15">
        <v>0</v>
      </c>
      <c r="E238" s="15">
        <v>0</v>
      </c>
      <c r="F238" s="12" t="s">
        <v>26</v>
      </c>
      <c r="G238" s="18" t="s">
        <v>110</v>
      </c>
      <c r="H238" s="18" t="s">
        <v>110</v>
      </c>
      <c r="I238" s="15">
        <v>0</v>
      </c>
      <c r="J238" s="15">
        <v>0</v>
      </c>
      <c r="K238" s="15">
        <v>0</v>
      </c>
      <c r="L238" s="12" t="s">
        <v>110</v>
      </c>
    </row>
    <row r="239" spans="1:12">
      <c r="A239" s="16" t="s">
        <v>46</v>
      </c>
      <c r="B239" s="19">
        <v>45657</v>
      </c>
      <c r="C239" s="19">
        <v>45657</v>
      </c>
      <c r="D239" s="20">
        <v>0</v>
      </c>
      <c r="E239" s="20">
        <v>0</v>
      </c>
      <c r="F239" s="16" t="s">
        <v>9</v>
      </c>
      <c r="G239" s="21" t="s">
        <v>110</v>
      </c>
      <c r="H239" s="21" t="s">
        <v>110</v>
      </c>
      <c r="I239" s="20">
        <v>0</v>
      </c>
      <c r="J239" s="20">
        <v>0</v>
      </c>
      <c r="K239" s="20">
        <v>0</v>
      </c>
      <c r="L239" s="16" t="s">
        <v>110</v>
      </c>
    </row>
    <row r="240" spans="1:12">
      <c r="A240" s="12" t="s">
        <v>38</v>
      </c>
      <c r="B240" s="17">
        <v>45657</v>
      </c>
      <c r="C240" s="17" t="s">
        <v>110</v>
      </c>
      <c r="D240" s="15" t="e">
        <v>#N/A</v>
      </c>
      <c r="E240" s="15">
        <v>1</v>
      </c>
      <c r="F240" s="12" t="s">
        <v>15</v>
      </c>
      <c r="G240" s="18" t="s">
        <v>110</v>
      </c>
      <c r="H240" s="18" t="s">
        <v>110</v>
      </c>
      <c r="I240" s="15">
        <v>0</v>
      </c>
      <c r="J240" s="15">
        <v>0</v>
      </c>
      <c r="K240" s="15">
        <v>0</v>
      </c>
      <c r="L240" s="12" t="s">
        <v>110</v>
      </c>
    </row>
    <row r="241" spans="1:12">
      <c r="A241" s="16" t="s">
        <v>38</v>
      </c>
      <c r="B241" s="19">
        <v>45657</v>
      </c>
      <c r="C241" s="19" t="s">
        <v>110</v>
      </c>
      <c r="D241" s="20" t="e">
        <v>#N/A</v>
      </c>
      <c r="E241" s="20">
        <v>1</v>
      </c>
      <c r="F241" s="16" t="s">
        <v>5</v>
      </c>
      <c r="G241" s="21" t="s">
        <v>110</v>
      </c>
      <c r="H241" s="21" t="s">
        <v>110</v>
      </c>
      <c r="I241" s="20">
        <v>0</v>
      </c>
      <c r="J241" s="20">
        <v>0</v>
      </c>
      <c r="K241" s="20">
        <v>0</v>
      </c>
      <c r="L241" s="16" t="s">
        <v>110</v>
      </c>
    </row>
    <row r="242" spans="1:12">
      <c r="A242" s="12" t="s">
        <v>38</v>
      </c>
      <c r="B242" s="17">
        <v>45657</v>
      </c>
      <c r="C242" s="17" t="s">
        <v>110</v>
      </c>
      <c r="D242" s="15" t="e">
        <v>#N/A</v>
      </c>
      <c r="E242" s="15">
        <v>1</v>
      </c>
      <c r="F242" s="12" t="s">
        <v>23</v>
      </c>
      <c r="G242" s="18" t="s">
        <v>110</v>
      </c>
      <c r="H242" s="18" t="s">
        <v>110</v>
      </c>
      <c r="I242" s="15">
        <v>0</v>
      </c>
      <c r="J242" s="15">
        <v>0</v>
      </c>
      <c r="K242" s="15">
        <v>0</v>
      </c>
      <c r="L242" s="12" t="s">
        <v>110</v>
      </c>
    </row>
    <row r="243" spans="1:12">
      <c r="A243" s="16" t="s">
        <v>46</v>
      </c>
      <c r="B243" s="19">
        <v>45657</v>
      </c>
      <c r="C243" s="19">
        <v>45657</v>
      </c>
      <c r="D243" s="20">
        <v>0</v>
      </c>
      <c r="E243" s="20">
        <v>0</v>
      </c>
      <c r="F243" s="16" t="s">
        <v>96</v>
      </c>
      <c r="G243" s="21" t="s">
        <v>110</v>
      </c>
      <c r="H243" s="21" t="s">
        <v>110</v>
      </c>
      <c r="I243" s="20">
        <v>0</v>
      </c>
      <c r="J243" s="20">
        <v>0</v>
      </c>
      <c r="K243" s="20">
        <v>0</v>
      </c>
      <c r="L243" s="16" t="s">
        <v>110</v>
      </c>
    </row>
    <row r="244" spans="1:12">
      <c r="A244" s="12" t="s">
        <v>10</v>
      </c>
      <c r="B244" s="17">
        <v>45657</v>
      </c>
      <c r="C244" s="17">
        <v>45657</v>
      </c>
      <c r="D244" s="15">
        <v>0</v>
      </c>
      <c r="E244" s="15">
        <v>0</v>
      </c>
      <c r="F244" s="12" t="s">
        <v>7</v>
      </c>
      <c r="G244" s="18" t="s">
        <v>110</v>
      </c>
      <c r="H244" s="18" t="s">
        <v>110</v>
      </c>
      <c r="I244" s="15">
        <v>0</v>
      </c>
      <c r="J244" s="15">
        <v>0</v>
      </c>
      <c r="K244" s="15">
        <v>0</v>
      </c>
      <c r="L244" s="12" t="s">
        <v>110</v>
      </c>
    </row>
    <row r="245" spans="1:12">
      <c r="A245" s="16" t="s">
        <v>10</v>
      </c>
      <c r="B245" s="19">
        <v>45657</v>
      </c>
      <c r="C245" s="19">
        <v>45657</v>
      </c>
      <c r="D245" s="20">
        <v>0</v>
      </c>
      <c r="E245" s="20">
        <v>0</v>
      </c>
      <c r="F245" s="16" t="s">
        <v>7</v>
      </c>
      <c r="G245" s="21" t="s">
        <v>110</v>
      </c>
      <c r="H245" s="21" t="s">
        <v>110</v>
      </c>
      <c r="I245" s="20">
        <v>0</v>
      </c>
      <c r="J245" s="20">
        <v>0</v>
      </c>
      <c r="K245" s="20">
        <v>0</v>
      </c>
      <c r="L245" s="16" t="s">
        <v>110</v>
      </c>
    </row>
    <row r="246" spans="1:12">
      <c r="A246" s="12" t="s">
        <v>46</v>
      </c>
      <c r="B246" s="17">
        <v>45657</v>
      </c>
      <c r="C246" s="17">
        <v>45657</v>
      </c>
      <c r="D246" s="15">
        <v>0</v>
      </c>
      <c r="E246" s="15">
        <v>0</v>
      </c>
      <c r="F246" s="12" t="s">
        <v>13</v>
      </c>
      <c r="G246" s="18" t="s">
        <v>110</v>
      </c>
      <c r="H246" s="18" t="s">
        <v>110</v>
      </c>
      <c r="I246" s="15">
        <v>0</v>
      </c>
      <c r="J246" s="15">
        <v>0</v>
      </c>
      <c r="K246" s="15">
        <v>0</v>
      </c>
      <c r="L246" s="12" t="s">
        <v>110</v>
      </c>
    </row>
    <row r="247" spans="1:12">
      <c r="A247" s="16" t="s">
        <v>46</v>
      </c>
      <c r="B247" s="19">
        <v>45657</v>
      </c>
      <c r="C247" s="19">
        <v>45657</v>
      </c>
      <c r="D247" s="20">
        <v>0</v>
      </c>
      <c r="E247" s="20">
        <v>0</v>
      </c>
      <c r="F247" s="16" t="s">
        <v>7</v>
      </c>
      <c r="G247" s="21" t="s">
        <v>110</v>
      </c>
      <c r="H247" s="21" t="s">
        <v>110</v>
      </c>
      <c r="I247" s="20">
        <v>0</v>
      </c>
      <c r="J247" s="20">
        <v>0</v>
      </c>
      <c r="K247" s="20">
        <v>0</v>
      </c>
      <c r="L247" s="16" t="s">
        <v>110</v>
      </c>
    </row>
    <row r="248" spans="1:12">
      <c r="A248" s="12" t="s">
        <v>46</v>
      </c>
      <c r="B248" s="17">
        <v>45657</v>
      </c>
      <c r="C248" s="17">
        <v>45659</v>
      </c>
      <c r="D248" s="15">
        <v>2</v>
      </c>
      <c r="E248" s="15">
        <v>0</v>
      </c>
      <c r="F248" s="12" t="s">
        <v>17</v>
      </c>
      <c r="G248" s="18" t="s">
        <v>110</v>
      </c>
      <c r="H248" s="18" t="s">
        <v>110</v>
      </c>
      <c r="I248" s="15">
        <v>0</v>
      </c>
      <c r="J248" s="15">
        <v>0</v>
      </c>
      <c r="K248" s="15">
        <v>0</v>
      </c>
      <c r="L248" s="12" t="s">
        <v>110</v>
      </c>
    </row>
    <row r="249" spans="1:12">
      <c r="A249" s="16" t="s">
        <v>46</v>
      </c>
      <c r="B249" s="19">
        <v>45657</v>
      </c>
      <c r="C249" s="19">
        <v>45657</v>
      </c>
      <c r="D249" s="20">
        <v>0</v>
      </c>
      <c r="E249" s="20">
        <v>0</v>
      </c>
      <c r="F249" s="16" t="s">
        <v>5</v>
      </c>
      <c r="G249" s="21" t="s">
        <v>110</v>
      </c>
      <c r="H249" s="21" t="s">
        <v>110</v>
      </c>
      <c r="I249" s="20">
        <v>0</v>
      </c>
      <c r="J249" s="20">
        <v>0</v>
      </c>
      <c r="K249" s="20">
        <v>0</v>
      </c>
      <c r="L249" s="16" t="s">
        <v>110</v>
      </c>
    </row>
    <row r="250" spans="1:12">
      <c r="A250" s="12" t="s">
        <v>46</v>
      </c>
      <c r="B250" s="17">
        <v>45657</v>
      </c>
      <c r="C250" s="17">
        <v>45657</v>
      </c>
      <c r="D250" s="15">
        <v>0</v>
      </c>
      <c r="E250" s="15">
        <v>0</v>
      </c>
      <c r="F250" s="12" t="s">
        <v>7</v>
      </c>
      <c r="G250" s="18" t="s">
        <v>110</v>
      </c>
      <c r="H250" s="18" t="s">
        <v>110</v>
      </c>
      <c r="I250" s="15">
        <v>0</v>
      </c>
      <c r="J250" s="15">
        <v>0</v>
      </c>
      <c r="K250" s="15">
        <v>0</v>
      </c>
      <c r="L250" s="12" t="s">
        <v>110</v>
      </c>
    </row>
    <row r="251" spans="1:12">
      <c r="A251" s="16" t="s">
        <v>46</v>
      </c>
      <c r="B251" s="19">
        <v>45657</v>
      </c>
      <c r="C251" s="19">
        <v>45657</v>
      </c>
      <c r="D251" s="20">
        <v>0</v>
      </c>
      <c r="E251" s="20">
        <v>0</v>
      </c>
      <c r="F251" s="16" t="s">
        <v>5</v>
      </c>
      <c r="G251" s="21" t="s">
        <v>110</v>
      </c>
      <c r="H251" s="21" t="s">
        <v>110</v>
      </c>
      <c r="I251" s="20">
        <v>0</v>
      </c>
      <c r="J251" s="20">
        <v>0</v>
      </c>
      <c r="K251" s="20">
        <v>0</v>
      </c>
      <c r="L251" s="16" t="s">
        <v>110</v>
      </c>
    </row>
    <row r="252" spans="1:12">
      <c r="A252" s="12" t="s">
        <v>4</v>
      </c>
      <c r="B252" s="17">
        <v>45657</v>
      </c>
      <c r="C252" s="17">
        <v>45659</v>
      </c>
      <c r="D252" s="15">
        <v>2</v>
      </c>
      <c r="E252" s="15">
        <v>0</v>
      </c>
      <c r="F252" s="12" t="s">
        <v>22</v>
      </c>
      <c r="G252" s="18" t="s">
        <v>110</v>
      </c>
      <c r="H252" s="18" t="s">
        <v>110</v>
      </c>
      <c r="I252" s="15">
        <v>0</v>
      </c>
      <c r="J252" s="15">
        <v>0</v>
      </c>
      <c r="K252" s="15">
        <v>0</v>
      </c>
      <c r="L252" s="12" t="s">
        <v>110</v>
      </c>
    </row>
    <row r="253" spans="1:12">
      <c r="A253" s="16" t="s">
        <v>10</v>
      </c>
      <c r="B253" s="19">
        <v>45657</v>
      </c>
      <c r="C253" s="19">
        <v>45657</v>
      </c>
      <c r="D253" s="20">
        <v>0</v>
      </c>
      <c r="E253" s="20">
        <v>0</v>
      </c>
      <c r="F253" s="16" t="s">
        <v>7</v>
      </c>
      <c r="G253" s="21" t="s">
        <v>110</v>
      </c>
      <c r="H253" s="21" t="s">
        <v>110</v>
      </c>
      <c r="I253" s="20">
        <v>0</v>
      </c>
      <c r="J253" s="20">
        <v>0</v>
      </c>
      <c r="K253" s="20">
        <v>0</v>
      </c>
      <c r="L253" s="16" t="s">
        <v>110</v>
      </c>
    </row>
    <row r="254" spans="1:12">
      <c r="A254" s="12" t="s">
        <v>38</v>
      </c>
      <c r="B254" s="17">
        <v>45657</v>
      </c>
      <c r="C254" s="17" t="s">
        <v>110</v>
      </c>
      <c r="D254" s="15" t="e">
        <v>#N/A</v>
      </c>
      <c r="E254" s="15">
        <v>1</v>
      </c>
      <c r="F254" s="12" t="s">
        <v>15</v>
      </c>
      <c r="G254" s="18" t="s">
        <v>110</v>
      </c>
      <c r="H254" s="18" t="s">
        <v>110</v>
      </c>
      <c r="I254" s="15">
        <v>0</v>
      </c>
      <c r="J254" s="15">
        <v>0</v>
      </c>
      <c r="K254" s="15">
        <v>0</v>
      </c>
      <c r="L254" s="12" t="s">
        <v>110</v>
      </c>
    </row>
    <row r="255" spans="1:12">
      <c r="A255" s="16" t="s">
        <v>46</v>
      </c>
      <c r="B255" s="19">
        <v>45657</v>
      </c>
      <c r="C255" s="19">
        <v>45657</v>
      </c>
      <c r="D255" s="20">
        <v>0</v>
      </c>
      <c r="E255" s="20">
        <v>0</v>
      </c>
      <c r="F255" s="16" t="s">
        <v>22</v>
      </c>
      <c r="G255" s="21" t="s">
        <v>110</v>
      </c>
      <c r="H255" s="21" t="s">
        <v>110</v>
      </c>
      <c r="I255" s="20">
        <v>0</v>
      </c>
      <c r="J255" s="20">
        <v>0</v>
      </c>
      <c r="K255" s="20">
        <v>0</v>
      </c>
      <c r="L255" s="16" t="s">
        <v>110</v>
      </c>
    </row>
    <row r="256" spans="1:12">
      <c r="A256" s="12" t="s">
        <v>10</v>
      </c>
      <c r="B256" s="17">
        <v>45657</v>
      </c>
      <c r="C256" s="17">
        <v>45657</v>
      </c>
      <c r="D256" s="15">
        <v>0</v>
      </c>
      <c r="E256" s="15">
        <v>0</v>
      </c>
      <c r="F256" s="12" t="s">
        <v>26</v>
      </c>
      <c r="G256" s="18" t="s">
        <v>110</v>
      </c>
      <c r="H256" s="18" t="s">
        <v>110</v>
      </c>
      <c r="I256" s="15">
        <v>0</v>
      </c>
      <c r="J256" s="15">
        <v>0</v>
      </c>
      <c r="K256" s="15">
        <v>0</v>
      </c>
      <c r="L256" s="12" t="s">
        <v>110</v>
      </c>
    </row>
    <row r="257" spans="1:12">
      <c r="A257" s="16" t="s">
        <v>46</v>
      </c>
      <c r="B257" s="19">
        <v>45657</v>
      </c>
      <c r="C257" s="19">
        <v>45657</v>
      </c>
      <c r="D257" s="20">
        <v>0</v>
      </c>
      <c r="E257" s="20">
        <v>0</v>
      </c>
      <c r="F257" s="16" t="s">
        <v>9</v>
      </c>
      <c r="G257" s="21" t="s">
        <v>110</v>
      </c>
      <c r="H257" s="21" t="s">
        <v>110</v>
      </c>
      <c r="I257" s="20">
        <v>0</v>
      </c>
      <c r="J257" s="20">
        <v>0</v>
      </c>
      <c r="K257" s="20">
        <v>0</v>
      </c>
      <c r="L257" s="16" t="s">
        <v>110</v>
      </c>
    </row>
    <row r="258" spans="1:12">
      <c r="A258" s="12" t="s">
        <v>46</v>
      </c>
      <c r="B258" s="17">
        <v>45657</v>
      </c>
      <c r="C258" s="17">
        <v>45657</v>
      </c>
      <c r="D258" s="15">
        <v>0</v>
      </c>
      <c r="E258" s="15">
        <v>0</v>
      </c>
      <c r="F258" s="12" t="s">
        <v>5</v>
      </c>
      <c r="G258" s="18" t="s">
        <v>110</v>
      </c>
      <c r="H258" s="18" t="s">
        <v>110</v>
      </c>
      <c r="I258" s="15">
        <v>0</v>
      </c>
      <c r="J258" s="15">
        <v>0</v>
      </c>
      <c r="K258" s="15">
        <v>0</v>
      </c>
      <c r="L258" s="12" t="s">
        <v>110</v>
      </c>
    </row>
    <row r="259" spans="1:12">
      <c r="A259" s="16" t="s">
        <v>4</v>
      </c>
      <c r="B259" s="19">
        <v>45657</v>
      </c>
      <c r="C259" s="19">
        <v>45657</v>
      </c>
      <c r="D259" s="20">
        <v>0</v>
      </c>
      <c r="E259" s="20">
        <v>0</v>
      </c>
      <c r="F259" s="16" t="s">
        <v>5</v>
      </c>
      <c r="G259" s="21">
        <v>-104.98884099999999</v>
      </c>
      <c r="H259" s="21">
        <v>39.735253</v>
      </c>
      <c r="I259" s="20">
        <v>1</v>
      </c>
      <c r="J259" s="20">
        <v>0</v>
      </c>
      <c r="K259" s="20">
        <v>0</v>
      </c>
      <c r="L259" s="16" t="s">
        <v>200</v>
      </c>
    </row>
    <row r="260" spans="1:12">
      <c r="A260" s="12" t="s">
        <v>10</v>
      </c>
      <c r="B260" s="17">
        <v>45657</v>
      </c>
      <c r="C260" s="17">
        <v>45657</v>
      </c>
      <c r="D260" s="15">
        <v>0</v>
      </c>
      <c r="E260" s="15">
        <v>0</v>
      </c>
      <c r="F260" s="12" t="s">
        <v>96</v>
      </c>
      <c r="G260" s="18">
        <v>-105.01238209</v>
      </c>
      <c r="H260" s="18">
        <v>39.702779499999998</v>
      </c>
      <c r="I260" s="15">
        <v>1</v>
      </c>
      <c r="J260" s="15">
        <v>0</v>
      </c>
      <c r="K260" s="15">
        <v>0</v>
      </c>
      <c r="L260" s="12" t="s">
        <v>110</v>
      </c>
    </row>
    <row r="261" spans="1:12">
      <c r="A261" s="16" t="s">
        <v>46</v>
      </c>
      <c r="B261" s="19">
        <v>45657</v>
      </c>
      <c r="C261" s="19">
        <v>45657</v>
      </c>
      <c r="D261" s="20">
        <v>0</v>
      </c>
      <c r="E261" s="20">
        <v>0</v>
      </c>
      <c r="F261" s="16" t="s">
        <v>13</v>
      </c>
      <c r="G261" s="21" t="s">
        <v>110</v>
      </c>
      <c r="H261" s="21" t="s">
        <v>110</v>
      </c>
      <c r="I261" s="20">
        <v>0</v>
      </c>
      <c r="J261" s="20">
        <v>0</v>
      </c>
      <c r="K261" s="20">
        <v>0</v>
      </c>
      <c r="L261" s="16" t="s">
        <v>110</v>
      </c>
    </row>
    <row r="262" spans="1:12">
      <c r="A262" s="12" t="s">
        <v>46</v>
      </c>
      <c r="B262" s="17">
        <v>45657</v>
      </c>
      <c r="C262" s="17">
        <v>45657</v>
      </c>
      <c r="D262" s="15">
        <v>0</v>
      </c>
      <c r="E262" s="15">
        <v>0</v>
      </c>
      <c r="F262" s="12" t="s">
        <v>7</v>
      </c>
      <c r="G262" s="18" t="s">
        <v>110</v>
      </c>
      <c r="H262" s="18" t="s">
        <v>110</v>
      </c>
      <c r="I262" s="15">
        <v>0</v>
      </c>
      <c r="J262" s="15">
        <v>0</v>
      </c>
      <c r="K262" s="15">
        <v>0</v>
      </c>
      <c r="L262" s="12" t="s">
        <v>110</v>
      </c>
    </row>
    <row r="263" spans="1:12">
      <c r="A263" s="16" t="s">
        <v>38</v>
      </c>
      <c r="B263" s="19">
        <v>45657</v>
      </c>
      <c r="C263" s="19" t="s">
        <v>110</v>
      </c>
      <c r="D263" s="20" t="e">
        <v>#N/A</v>
      </c>
      <c r="E263" s="20">
        <v>1</v>
      </c>
      <c r="F263" s="16" t="s">
        <v>23</v>
      </c>
      <c r="G263" s="21" t="s">
        <v>110</v>
      </c>
      <c r="H263" s="21" t="s">
        <v>110</v>
      </c>
      <c r="I263" s="20">
        <v>0</v>
      </c>
      <c r="J263" s="20">
        <v>0</v>
      </c>
      <c r="K263" s="20">
        <v>0</v>
      </c>
      <c r="L263" s="16" t="s">
        <v>110</v>
      </c>
    </row>
    <row r="264" spans="1:12">
      <c r="A264" s="12" t="s">
        <v>10</v>
      </c>
      <c r="B264" s="17">
        <v>45657</v>
      </c>
      <c r="C264" s="17">
        <v>45657</v>
      </c>
      <c r="D264" s="15">
        <v>0</v>
      </c>
      <c r="E264" s="15">
        <v>0</v>
      </c>
      <c r="F264" s="12" t="s">
        <v>13</v>
      </c>
      <c r="G264" s="18" t="s">
        <v>110</v>
      </c>
      <c r="H264" s="18" t="s">
        <v>110</v>
      </c>
      <c r="I264" s="15">
        <v>0</v>
      </c>
      <c r="J264" s="15">
        <v>0</v>
      </c>
      <c r="K264" s="15">
        <v>0</v>
      </c>
      <c r="L264" s="12" t="s">
        <v>110</v>
      </c>
    </row>
    <row r="265" spans="1:12">
      <c r="A265" s="16" t="s">
        <v>46</v>
      </c>
      <c r="B265" s="19">
        <v>45657</v>
      </c>
      <c r="C265" s="19">
        <v>45657</v>
      </c>
      <c r="D265" s="20">
        <v>0</v>
      </c>
      <c r="E265" s="20">
        <v>0</v>
      </c>
      <c r="F265" s="16" t="s">
        <v>22</v>
      </c>
      <c r="G265" s="21" t="s">
        <v>110</v>
      </c>
      <c r="H265" s="21" t="s">
        <v>110</v>
      </c>
      <c r="I265" s="20">
        <v>0</v>
      </c>
      <c r="J265" s="20">
        <v>0</v>
      </c>
      <c r="K265" s="20">
        <v>0</v>
      </c>
      <c r="L265" s="16" t="s">
        <v>110</v>
      </c>
    </row>
    <row r="266" spans="1:12">
      <c r="A266" s="12" t="s">
        <v>10</v>
      </c>
      <c r="B266" s="17">
        <v>45657</v>
      </c>
      <c r="C266" s="17">
        <v>45657</v>
      </c>
      <c r="D266" s="15">
        <v>0</v>
      </c>
      <c r="E266" s="15">
        <v>0</v>
      </c>
      <c r="F266" s="12" t="s">
        <v>7</v>
      </c>
      <c r="G266" s="18" t="s">
        <v>110</v>
      </c>
      <c r="H266" s="18" t="s">
        <v>110</v>
      </c>
      <c r="I266" s="15">
        <v>0</v>
      </c>
      <c r="J266" s="15">
        <v>0</v>
      </c>
      <c r="K266" s="15">
        <v>0</v>
      </c>
      <c r="L266" s="12" t="s">
        <v>110</v>
      </c>
    </row>
    <row r="267" spans="1:12">
      <c r="A267" s="16" t="s">
        <v>46</v>
      </c>
      <c r="B267" s="19">
        <v>45657</v>
      </c>
      <c r="C267" s="19">
        <v>45657</v>
      </c>
      <c r="D267" s="20">
        <v>0</v>
      </c>
      <c r="E267" s="20">
        <v>0</v>
      </c>
      <c r="F267" s="16" t="s">
        <v>5</v>
      </c>
      <c r="G267" s="21" t="s">
        <v>110</v>
      </c>
      <c r="H267" s="21" t="s">
        <v>110</v>
      </c>
      <c r="I267" s="20">
        <v>0</v>
      </c>
      <c r="J267" s="20">
        <v>0</v>
      </c>
      <c r="K267" s="20">
        <v>0</v>
      </c>
      <c r="L267" s="16" t="s">
        <v>110</v>
      </c>
    </row>
    <row r="268" spans="1:12">
      <c r="A268" s="12" t="s">
        <v>46</v>
      </c>
      <c r="B268" s="17">
        <v>45657</v>
      </c>
      <c r="C268" s="17">
        <v>45657</v>
      </c>
      <c r="D268" s="15">
        <v>0</v>
      </c>
      <c r="E268" s="15">
        <v>0</v>
      </c>
      <c r="F268" s="12" t="s">
        <v>13</v>
      </c>
      <c r="G268" s="18" t="s">
        <v>110</v>
      </c>
      <c r="H268" s="18" t="s">
        <v>110</v>
      </c>
      <c r="I268" s="15">
        <v>0</v>
      </c>
      <c r="J268" s="15">
        <v>0</v>
      </c>
      <c r="K268" s="15">
        <v>0</v>
      </c>
      <c r="L268" s="12" t="s">
        <v>110</v>
      </c>
    </row>
    <row r="269" spans="1:12">
      <c r="A269" s="16" t="s">
        <v>46</v>
      </c>
      <c r="B269" s="19">
        <v>45657</v>
      </c>
      <c r="C269" s="19">
        <v>45657</v>
      </c>
      <c r="D269" s="20">
        <v>0</v>
      </c>
      <c r="E269" s="20">
        <v>0</v>
      </c>
      <c r="F269" s="16" t="s">
        <v>5</v>
      </c>
      <c r="G269" s="21" t="s">
        <v>110</v>
      </c>
      <c r="H269" s="21" t="s">
        <v>110</v>
      </c>
      <c r="I269" s="20">
        <v>0</v>
      </c>
      <c r="J269" s="20">
        <v>0</v>
      </c>
      <c r="K269" s="20">
        <v>0</v>
      </c>
      <c r="L269" s="16" t="s">
        <v>110</v>
      </c>
    </row>
    <row r="270" spans="1:12">
      <c r="A270" s="12" t="s">
        <v>46</v>
      </c>
      <c r="B270" s="17">
        <v>45657</v>
      </c>
      <c r="C270" s="17">
        <v>45657</v>
      </c>
      <c r="D270" s="15">
        <v>0</v>
      </c>
      <c r="E270" s="15">
        <v>0</v>
      </c>
      <c r="F270" s="12" t="s">
        <v>17</v>
      </c>
      <c r="G270" s="18" t="s">
        <v>110</v>
      </c>
      <c r="H270" s="18" t="s">
        <v>110</v>
      </c>
      <c r="I270" s="15">
        <v>0</v>
      </c>
      <c r="J270" s="15">
        <v>0</v>
      </c>
      <c r="K270" s="15">
        <v>0</v>
      </c>
      <c r="L270" s="12" t="s">
        <v>110</v>
      </c>
    </row>
    <row r="271" spans="1:12">
      <c r="A271" s="16" t="s">
        <v>4</v>
      </c>
      <c r="B271" s="19">
        <v>45657</v>
      </c>
      <c r="C271" s="19">
        <v>45657</v>
      </c>
      <c r="D271" s="20">
        <v>0</v>
      </c>
      <c r="E271" s="20">
        <v>0</v>
      </c>
      <c r="F271" s="16" t="s">
        <v>5</v>
      </c>
      <c r="G271" s="21" t="s">
        <v>110</v>
      </c>
      <c r="H271" s="21" t="s">
        <v>110</v>
      </c>
      <c r="I271" s="20">
        <v>0</v>
      </c>
      <c r="J271" s="20">
        <v>0</v>
      </c>
      <c r="K271" s="20">
        <v>0</v>
      </c>
      <c r="L271" s="16" t="s">
        <v>110</v>
      </c>
    </row>
    <row r="272" spans="1:12">
      <c r="A272" s="12" t="s">
        <v>10</v>
      </c>
      <c r="B272" s="17">
        <v>45657</v>
      </c>
      <c r="C272" s="17">
        <v>45657</v>
      </c>
      <c r="D272" s="15">
        <v>0</v>
      </c>
      <c r="E272" s="15">
        <v>0</v>
      </c>
      <c r="F272" s="12" t="s">
        <v>7</v>
      </c>
      <c r="G272" s="18" t="s">
        <v>110</v>
      </c>
      <c r="H272" s="18" t="s">
        <v>110</v>
      </c>
      <c r="I272" s="15">
        <v>0</v>
      </c>
      <c r="J272" s="15">
        <v>0</v>
      </c>
      <c r="K272" s="15">
        <v>0</v>
      </c>
      <c r="L272" s="12" t="s">
        <v>110</v>
      </c>
    </row>
    <row r="273" spans="1:12">
      <c r="A273" s="16" t="s">
        <v>46</v>
      </c>
      <c r="B273" s="19">
        <v>45657</v>
      </c>
      <c r="C273" s="19">
        <v>45657</v>
      </c>
      <c r="D273" s="20">
        <v>0</v>
      </c>
      <c r="E273" s="20">
        <v>0</v>
      </c>
      <c r="F273" s="16" t="s">
        <v>96</v>
      </c>
      <c r="G273" s="21" t="s">
        <v>110</v>
      </c>
      <c r="H273" s="21" t="s">
        <v>110</v>
      </c>
      <c r="I273" s="20">
        <v>0</v>
      </c>
      <c r="J273" s="20">
        <v>0</v>
      </c>
      <c r="K273" s="20">
        <v>0</v>
      </c>
      <c r="L273" s="16" t="s">
        <v>110</v>
      </c>
    </row>
    <row r="274" spans="1:12">
      <c r="A274" s="12" t="s">
        <v>10</v>
      </c>
      <c r="B274" s="17">
        <v>45657</v>
      </c>
      <c r="C274" s="17">
        <v>45657</v>
      </c>
      <c r="D274" s="15">
        <v>0</v>
      </c>
      <c r="E274" s="15">
        <v>0</v>
      </c>
      <c r="F274" s="12" t="s">
        <v>7</v>
      </c>
      <c r="G274" s="18" t="s">
        <v>110</v>
      </c>
      <c r="H274" s="18" t="s">
        <v>110</v>
      </c>
      <c r="I274" s="15">
        <v>0</v>
      </c>
      <c r="J274" s="15">
        <v>0</v>
      </c>
      <c r="K274" s="15">
        <v>0</v>
      </c>
      <c r="L274" s="12" t="s">
        <v>110</v>
      </c>
    </row>
    <row r="275" spans="1:12">
      <c r="A275" s="16" t="s">
        <v>46</v>
      </c>
      <c r="B275" s="19">
        <v>45657</v>
      </c>
      <c r="C275" s="19">
        <v>45657</v>
      </c>
      <c r="D275" s="20">
        <v>0</v>
      </c>
      <c r="E275" s="20">
        <v>0</v>
      </c>
      <c r="F275" s="16" t="s">
        <v>13</v>
      </c>
      <c r="G275" s="21" t="s">
        <v>110</v>
      </c>
      <c r="H275" s="21" t="s">
        <v>110</v>
      </c>
      <c r="I275" s="20">
        <v>0</v>
      </c>
      <c r="J275" s="20">
        <v>0</v>
      </c>
      <c r="K275" s="20">
        <v>0</v>
      </c>
      <c r="L275" s="16" t="s">
        <v>110</v>
      </c>
    </row>
    <row r="276" spans="1:12">
      <c r="A276" s="12" t="s">
        <v>10</v>
      </c>
      <c r="B276" s="17">
        <v>45657</v>
      </c>
      <c r="C276" s="17">
        <v>45657</v>
      </c>
      <c r="D276" s="15">
        <v>0</v>
      </c>
      <c r="E276" s="15">
        <v>0</v>
      </c>
      <c r="F276" s="12" t="s">
        <v>7</v>
      </c>
      <c r="G276" s="18" t="s">
        <v>110</v>
      </c>
      <c r="H276" s="18" t="s">
        <v>110</v>
      </c>
      <c r="I276" s="15">
        <v>0</v>
      </c>
      <c r="J276" s="15">
        <v>0</v>
      </c>
      <c r="K276" s="15">
        <v>0</v>
      </c>
      <c r="L276" s="12" t="s">
        <v>110</v>
      </c>
    </row>
    <row r="277" spans="1:12">
      <c r="A277" s="16" t="s">
        <v>11</v>
      </c>
      <c r="B277" s="19">
        <v>45657</v>
      </c>
      <c r="C277" s="19">
        <v>45657</v>
      </c>
      <c r="D277" s="20">
        <v>0</v>
      </c>
      <c r="E277" s="20">
        <v>0</v>
      </c>
      <c r="F277" s="16" t="s">
        <v>9</v>
      </c>
      <c r="G277" s="21">
        <v>-104.983068</v>
      </c>
      <c r="H277" s="21">
        <v>39.755891320000003</v>
      </c>
      <c r="I277" s="20">
        <v>1</v>
      </c>
      <c r="J277" s="20">
        <v>0</v>
      </c>
      <c r="K277" s="20">
        <v>0</v>
      </c>
      <c r="L277" s="16" t="s">
        <v>206</v>
      </c>
    </row>
    <row r="278" spans="1:12">
      <c r="A278" s="12" t="s">
        <v>10</v>
      </c>
      <c r="B278" s="17">
        <v>45657</v>
      </c>
      <c r="C278" s="17">
        <v>45657</v>
      </c>
      <c r="D278" s="15">
        <v>0</v>
      </c>
      <c r="E278" s="15">
        <v>0</v>
      </c>
      <c r="F278" s="12" t="s">
        <v>7</v>
      </c>
      <c r="G278" s="18" t="s">
        <v>110</v>
      </c>
      <c r="H278" s="18" t="s">
        <v>110</v>
      </c>
      <c r="I278" s="15">
        <v>0</v>
      </c>
      <c r="J278" s="15">
        <v>0</v>
      </c>
      <c r="K278" s="15">
        <v>0</v>
      </c>
      <c r="L278" s="12" t="s">
        <v>110</v>
      </c>
    </row>
    <row r="279" spans="1:12">
      <c r="A279" s="16" t="s">
        <v>10</v>
      </c>
      <c r="B279" s="19">
        <v>45657</v>
      </c>
      <c r="C279" s="19">
        <v>45658</v>
      </c>
      <c r="D279" s="20">
        <v>1</v>
      </c>
      <c r="E279" s="20">
        <v>0</v>
      </c>
      <c r="F279" s="16" t="s">
        <v>5</v>
      </c>
      <c r="G279" s="21">
        <v>-104.88604051999999</v>
      </c>
      <c r="H279" s="21">
        <v>39.774035609999999</v>
      </c>
      <c r="I279" s="20">
        <v>1</v>
      </c>
      <c r="J279" s="20">
        <v>0</v>
      </c>
      <c r="K279" s="20">
        <v>0</v>
      </c>
      <c r="L279" s="16" t="s">
        <v>110</v>
      </c>
    </row>
    <row r="280" spans="1:12">
      <c r="A280" s="12" t="s">
        <v>46</v>
      </c>
      <c r="B280" s="17">
        <v>45657</v>
      </c>
      <c r="C280" s="17">
        <v>45660</v>
      </c>
      <c r="D280" s="15">
        <v>3</v>
      </c>
      <c r="E280" s="15">
        <v>0</v>
      </c>
      <c r="F280" s="12" t="s">
        <v>17</v>
      </c>
      <c r="G280" s="18">
        <v>-104.94116193000001</v>
      </c>
      <c r="H280" s="18">
        <v>39.674573010000003</v>
      </c>
      <c r="I280" s="15">
        <v>1</v>
      </c>
      <c r="J280" s="15">
        <v>0</v>
      </c>
      <c r="K280" s="15">
        <v>0</v>
      </c>
      <c r="L280" s="12" t="s">
        <v>205</v>
      </c>
    </row>
    <row r="281" spans="1:12">
      <c r="A281" s="16" t="s">
        <v>4</v>
      </c>
      <c r="B281" s="19">
        <v>45657</v>
      </c>
      <c r="C281" s="19">
        <v>45657</v>
      </c>
      <c r="D281" s="20">
        <v>0</v>
      </c>
      <c r="E281" s="20">
        <v>0</v>
      </c>
      <c r="F281" s="16" t="s">
        <v>5</v>
      </c>
      <c r="G281" s="21" t="s">
        <v>110</v>
      </c>
      <c r="H281" s="21" t="s">
        <v>110</v>
      </c>
      <c r="I281" s="20">
        <v>0</v>
      </c>
      <c r="J281" s="20">
        <v>0</v>
      </c>
      <c r="K281" s="20">
        <v>0</v>
      </c>
      <c r="L281" s="16" t="s">
        <v>110</v>
      </c>
    </row>
    <row r="282" spans="1:12">
      <c r="A282" s="12" t="s">
        <v>10</v>
      </c>
      <c r="B282" s="17">
        <v>45657</v>
      </c>
      <c r="C282" s="17">
        <v>45657</v>
      </c>
      <c r="D282" s="15">
        <v>0</v>
      </c>
      <c r="E282" s="15">
        <v>0</v>
      </c>
      <c r="F282" s="12" t="s">
        <v>13</v>
      </c>
      <c r="G282" s="18" t="s">
        <v>110</v>
      </c>
      <c r="H282" s="18" t="s">
        <v>110</v>
      </c>
      <c r="I282" s="15">
        <v>0</v>
      </c>
      <c r="J282" s="15">
        <v>0</v>
      </c>
      <c r="K282" s="15">
        <v>0</v>
      </c>
      <c r="L282" s="12" t="s">
        <v>110</v>
      </c>
    </row>
    <row r="283" spans="1:12">
      <c r="A283" s="16" t="s">
        <v>10</v>
      </c>
      <c r="B283" s="19">
        <v>45657</v>
      </c>
      <c r="C283" s="19">
        <v>45657</v>
      </c>
      <c r="D283" s="20">
        <v>0</v>
      </c>
      <c r="E283" s="20">
        <v>0</v>
      </c>
      <c r="F283" s="16" t="s">
        <v>7</v>
      </c>
      <c r="G283" s="21" t="s">
        <v>110</v>
      </c>
      <c r="H283" s="21" t="s">
        <v>110</v>
      </c>
      <c r="I283" s="20">
        <v>0</v>
      </c>
      <c r="J283" s="20">
        <v>0</v>
      </c>
      <c r="K283" s="20">
        <v>0</v>
      </c>
      <c r="L283" s="16" t="s">
        <v>110</v>
      </c>
    </row>
    <row r="284" spans="1:12">
      <c r="A284" s="12" t="s">
        <v>29</v>
      </c>
      <c r="B284" s="17">
        <v>45657</v>
      </c>
      <c r="C284" s="17">
        <v>45657</v>
      </c>
      <c r="D284" s="15">
        <v>0</v>
      </c>
      <c r="E284" s="15">
        <v>0</v>
      </c>
      <c r="F284" s="12" t="s">
        <v>19</v>
      </c>
      <c r="G284" s="18">
        <v>-104.98066126000001</v>
      </c>
      <c r="H284" s="18">
        <v>39.696843170000001</v>
      </c>
      <c r="I284" s="15">
        <v>1</v>
      </c>
      <c r="J284" s="15">
        <v>0</v>
      </c>
      <c r="K284" s="15">
        <v>0</v>
      </c>
      <c r="L284" s="12" t="s">
        <v>197</v>
      </c>
    </row>
    <row r="285" spans="1:12">
      <c r="A285" s="16" t="s">
        <v>27</v>
      </c>
      <c r="B285" s="19">
        <v>45657</v>
      </c>
      <c r="C285" s="19">
        <v>45657</v>
      </c>
      <c r="D285" s="20">
        <v>0</v>
      </c>
      <c r="E285" s="20">
        <v>0</v>
      </c>
      <c r="F285" s="16" t="s">
        <v>96</v>
      </c>
      <c r="G285" s="21" t="s">
        <v>110</v>
      </c>
      <c r="H285" s="21" t="s">
        <v>110</v>
      </c>
      <c r="I285" s="20">
        <v>0</v>
      </c>
      <c r="J285" s="20">
        <v>0</v>
      </c>
      <c r="K285" s="20">
        <v>0</v>
      </c>
      <c r="L285" s="16" t="s">
        <v>110</v>
      </c>
    </row>
    <row r="286" spans="1:12">
      <c r="A286" s="12" t="s">
        <v>10</v>
      </c>
      <c r="B286" s="17">
        <v>45657</v>
      </c>
      <c r="C286" s="17">
        <v>45657</v>
      </c>
      <c r="D286" s="15">
        <v>0</v>
      </c>
      <c r="E286" s="15">
        <v>0</v>
      </c>
      <c r="F286" s="12" t="s">
        <v>13</v>
      </c>
      <c r="G286" s="18" t="s">
        <v>110</v>
      </c>
      <c r="H286" s="18" t="s">
        <v>110</v>
      </c>
      <c r="I286" s="15">
        <v>0</v>
      </c>
      <c r="J286" s="15">
        <v>0</v>
      </c>
      <c r="K286" s="15">
        <v>0</v>
      </c>
      <c r="L286" s="12" t="s">
        <v>110</v>
      </c>
    </row>
    <row r="287" spans="1:12">
      <c r="A287" s="16" t="s">
        <v>10</v>
      </c>
      <c r="B287" s="19">
        <v>45657</v>
      </c>
      <c r="C287" s="19">
        <v>45657</v>
      </c>
      <c r="D287" s="20">
        <v>0</v>
      </c>
      <c r="E287" s="20">
        <v>0</v>
      </c>
      <c r="F287" s="16" t="s">
        <v>7</v>
      </c>
      <c r="G287" s="21" t="s">
        <v>110</v>
      </c>
      <c r="H287" s="21" t="s">
        <v>110</v>
      </c>
      <c r="I287" s="20">
        <v>0</v>
      </c>
      <c r="J287" s="20">
        <v>0</v>
      </c>
      <c r="K287" s="20">
        <v>0</v>
      </c>
      <c r="L287" s="16" t="s">
        <v>110</v>
      </c>
    </row>
    <row r="288" spans="1:12">
      <c r="A288" s="12" t="s">
        <v>4</v>
      </c>
      <c r="B288" s="17">
        <v>45657</v>
      </c>
      <c r="C288" s="17">
        <v>45657</v>
      </c>
      <c r="D288" s="15">
        <v>0</v>
      </c>
      <c r="E288" s="15">
        <v>0</v>
      </c>
      <c r="F288" s="12" t="s">
        <v>5</v>
      </c>
      <c r="G288" s="18" t="s">
        <v>110</v>
      </c>
      <c r="H288" s="18" t="s">
        <v>110</v>
      </c>
      <c r="I288" s="15">
        <v>0</v>
      </c>
      <c r="J288" s="15">
        <v>0</v>
      </c>
      <c r="K288" s="15">
        <v>0</v>
      </c>
      <c r="L288" s="12" t="s">
        <v>110</v>
      </c>
    </row>
    <row r="289" spans="1:12">
      <c r="A289" s="16" t="s">
        <v>46</v>
      </c>
      <c r="B289" s="19">
        <v>45657</v>
      </c>
      <c r="C289" s="19">
        <v>45657</v>
      </c>
      <c r="D289" s="20">
        <v>0</v>
      </c>
      <c r="E289" s="20">
        <v>0</v>
      </c>
      <c r="F289" s="16" t="s">
        <v>26</v>
      </c>
      <c r="G289" s="21" t="s">
        <v>110</v>
      </c>
      <c r="H289" s="21" t="s">
        <v>110</v>
      </c>
      <c r="I289" s="20">
        <v>0</v>
      </c>
      <c r="J289" s="20">
        <v>0</v>
      </c>
      <c r="K289" s="20">
        <v>0</v>
      </c>
      <c r="L289" s="16" t="s">
        <v>110</v>
      </c>
    </row>
    <row r="290" spans="1:12">
      <c r="A290" s="12" t="s">
        <v>10</v>
      </c>
      <c r="B290" s="17">
        <v>45657</v>
      </c>
      <c r="C290" s="17">
        <v>45657</v>
      </c>
      <c r="D290" s="15">
        <v>0</v>
      </c>
      <c r="E290" s="15">
        <v>0</v>
      </c>
      <c r="F290" s="12" t="s">
        <v>96</v>
      </c>
      <c r="G290" s="18">
        <v>-104.98037777</v>
      </c>
      <c r="H290" s="18">
        <v>39.781025870000001</v>
      </c>
      <c r="I290" s="15">
        <v>1</v>
      </c>
      <c r="J290" s="15">
        <v>0</v>
      </c>
      <c r="K290" s="15">
        <v>0</v>
      </c>
      <c r="L290" s="12" t="s">
        <v>110</v>
      </c>
    </row>
    <row r="291" spans="1:12">
      <c r="A291" s="16" t="s">
        <v>46</v>
      </c>
      <c r="B291" s="19">
        <v>45657</v>
      </c>
      <c r="C291" s="19">
        <v>45659</v>
      </c>
      <c r="D291" s="20">
        <v>2</v>
      </c>
      <c r="E291" s="20">
        <v>0</v>
      </c>
      <c r="F291" s="16" t="s">
        <v>13</v>
      </c>
      <c r="G291" s="21">
        <v>-104.9927234</v>
      </c>
      <c r="H291" s="21">
        <v>39.774359920000002</v>
      </c>
      <c r="I291" s="20">
        <v>1</v>
      </c>
      <c r="J291" s="20">
        <v>0</v>
      </c>
      <c r="K291" s="20">
        <v>0</v>
      </c>
      <c r="L291" s="16" t="s">
        <v>110</v>
      </c>
    </row>
    <row r="292" spans="1:12">
      <c r="A292" s="12" t="s">
        <v>4</v>
      </c>
      <c r="B292" s="17">
        <v>45657</v>
      </c>
      <c r="C292" s="17">
        <v>45657</v>
      </c>
      <c r="D292" s="15">
        <v>0</v>
      </c>
      <c r="E292" s="15">
        <v>0</v>
      </c>
      <c r="F292" s="12" t="s">
        <v>5</v>
      </c>
      <c r="G292" s="18" t="s">
        <v>110</v>
      </c>
      <c r="H292" s="18" t="s">
        <v>110</v>
      </c>
      <c r="I292" s="15">
        <v>0</v>
      </c>
      <c r="J292" s="15">
        <v>0</v>
      </c>
      <c r="K292" s="15">
        <v>0</v>
      </c>
      <c r="L292" s="12" t="s">
        <v>110</v>
      </c>
    </row>
    <row r="293" spans="1:12">
      <c r="A293" s="16" t="s">
        <v>10</v>
      </c>
      <c r="B293" s="19">
        <v>45657</v>
      </c>
      <c r="C293" s="19">
        <v>45657</v>
      </c>
      <c r="D293" s="20">
        <v>0</v>
      </c>
      <c r="E293" s="20">
        <v>0</v>
      </c>
      <c r="F293" s="16" t="s">
        <v>13</v>
      </c>
      <c r="G293" s="21" t="s">
        <v>110</v>
      </c>
      <c r="H293" s="21" t="s">
        <v>110</v>
      </c>
      <c r="I293" s="20">
        <v>0</v>
      </c>
      <c r="J293" s="20">
        <v>0</v>
      </c>
      <c r="K293" s="20">
        <v>0</v>
      </c>
      <c r="L293" s="16" t="s">
        <v>110</v>
      </c>
    </row>
    <row r="294" spans="1:12">
      <c r="A294" s="12" t="s">
        <v>27</v>
      </c>
      <c r="B294" s="17">
        <v>45657</v>
      </c>
      <c r="C294" s="17">
        <v>45657</v>
      </c>
      <c r="D294" s="15">
        <v>0</v>
      </c>
      <c r="E294" s="15">
        <v>0</v>
      </c>
      <c r="F294" s="12" t="s">
        <v>7</v>
      </c>
      <c r="G294" s="18" t="s">
        <v>110</v>
      </c>
      <c r="H294" s="18" t="s">
        <v>110</v>
      </c>
      <c r="I294" s="15">
        <v>0</v>
      </c>
      <c r="J294" s="15">
        <v>0</v>
      </c>
      <c r="K294" s="15">
        <v>0</v>
      </c>
      <c r="L294" s="12" t="s">
        <v>110</v>
      </c>
    </row>
    <row r="295" spans="1:12">
      <c r="A295" s="16" t="s">
        <v>10</v>
      </c>
      <c r="B295" s="19">
        <v>45657</v>
      </c>
      <c r="C295" s="19">
        <v>45660</v>
      </c>
      <c r="D295" s="20">
        <v>3</v>
      </c>
      <c r="E295" s="20">
        <v>0</v>
      </c>
      <c r="F295" s="16" t="s">
        <v>13</v>
      </c>
      <c r="G295" s="21">
        <v>-104.98668317000001</v>
      </c>
      <c r="H295" s="21">
        <v>39.670663019999999</v>
      </c>
      <c r="I295" s="20">
        <v>1</v>
      </c>
      <c r="J295" s="20">
        <v>0</v>
      </c>
      <c r="K295" s="20">
        <v>0</v>
      </c>
      <c r="L295" s="16" t="s">
        <v>197</v>
      </c>
    </row>
    <row r="296" spans="1:12">
      <c r="A296" s="12" t="s">
        <v>11</v>
      </c>
      <c r="B296" s="17">
        <v>45657</v>
      </c>
      <c r="C296" s="17">
        <v>45657</v>
      </c>
      <c r="D296" s="15">
        <v>0</v>
      </c>
      <c r="E296" s="15">
        <v>0</v>
      </c>
      <c r="F296" s="12" t="s">
        <v>9</v>
      </c>
      <c r="G296" s="18" t="s">
        <v>110</v>
      </c>
      <c r="H296" s="18" t="s">
        <v>110</v>
      </c>
      <c r="I296" s="15">
        <v>0</v>
      </c>
      <c r="J296" s="15">
        <v>0</v>
      </c>
      <c r="K296" s="15">
        <v>0</v>
      </c>
      <c r="L296" s="12" t="s">
        <v>110</v>
      </c>
    </row>
    <row r="297" spans="1:12">
      <c r="A297" s="16" t="s">
        <v>10</v>
      </c>
      <c r="B297" s="19">
        <v>45657</v>
      </c>
      <c r="C297" s="19">
        <v>45657</v>
      </c>
      <c r="D297" s="20">
        <v>0</v>
      </c>
      <c r="E297" s="20">
        <v>0</v>
      </c>
      <c r="F297" s="16" t="s">
        <v>5</v>
      </c>
      <c r="G297" s="21" t="s">
        <v>110</v>
      </c>
      <c r="H297" s="21" t="s">
        <v>110</v>
      </c>
      <c r="I297" s="20">
        <v>0</v>
      </c>
      <c r="J297" s="20">
        <v>0</v>
      </c>
      <c r="K297" s="20">
        <v>0</v>
      </c>
      <c r="L297" s="16" t="s">
        <v>110</v>
      </c>
    </row>
    <row r="298" spans="1:12">
      <c r="A298" s="12" t="s">
        <v>33</v>
      </c>
      <c r="B298" s="17">
        <v>45657</v>
      </c>
      <c r="C298" s="17">
        <v>45683</v>
      </c>
      <c r="D298" s="15">
        <v>26</v>
      </c>
      <c r="E298" s="15">
        <v>0</v>
      </c>
      <c r="F298" s="12" t="s">
        <v>9</v>
      </c>
      <c r="G298" s="18">
        <v>-104.97996774000001</v>
      </c>
      <c r="H298" s="18">
        <v>39.667959539999998</v>
      </c>
      <c r="I298" s="15">
        <v>1</v>
      </c>
      <c r="J298" s="15">
        <v>0</v>
      </c>
      <c r="K298" s="15">
        <v>0</v>
      </c>
      <c r="L298" s="12" t="s">
        <v>197</v>
      </c>
    </row>
    <row r="299" spans="1:12">
      <c r="A299" s="16" t="s">
        <v>46</v>
      </c>
      <c r="B299" s="19">
        <v>45657</v>
      </c>
      <c r="C299" s="19">
        <v>45664</v>
      </c>
      <c r="D299" s="20">
        <v>7</v>
      </c>
      <c r="E299" s="20">
        <v>0</v>
      </c>
      <c r="F299" s="16" t="s">
        <v>17</v>
      </c>
      <c r="G299" s="21" t="s">
        <v>110</v>
      </c>
      <c r="H299" s="21" t="s">
        <v>110</v>
      </c>
      <c r="I299" s="20">
        <v>0</v>
      </c>
      <c r="J299" s="20">
        <v>0</v>
      </c>
      <c r="K299" s="20">
        <v>0</v>
      </c>
      <c r="L299" s="16" t="s">
        <v>110</v>
      </c>
    </row>
    <row r="300" spans="1:12">
      <c r="A300" s="12" t="s">
        <v>46</v>
      </c>
      <c r="B300" s="17">
        <v>45657</v>
      </c>
      <c r="C300" s="17">
        <v>45658</v>
      </c>
      <c r="D300" s="15">
        <v>1</v>
      </c>
      <c r="E300" s="15">
        <v>0</v>
      </c>
      <c r="F300" s="12" t="s">
        <v>17</v>
      </c>
      <c r="G300" s="18" t="s">
        <v>110</v>
      </c>
      <c r="H300" s="18" t="s">
        <v>110</v>
      </c>
      <c r="I300" s="15">
        <v>0</v>
      </c>
      <c r="J300" s="15">
        <v>0</v>
      </c>
      <c r="K300" s="15">
        <v>0</v>
      </c>
      <c r="L300" s="12" t="s">
        <v>110</v>
      </c>
    </row>
    <row r="301" spans="1:12">
      <c r="A301" s="16" t="s">
        <v>10</v>
      </c>
      <c r="B301" s="19">
        <v>45657</v>
      </c>
      <c r="C301" s="19">
        <v>45657</v>
      </c>
      <c r="D301" s="20">
        <v>0</v>
      </c>
      <c r="E301" s="20">
        <v>0</v>
      </c>
      <c r="F301" s="16" t="s">
        <v>13</v>
      </c>
      <c r="G301" s="21" t="s">
        <v>110</v>
      </c>
      <c r="H301" s="21" t="s">
        <v>110</v>
      </c>
      <c r="I301" s="20">
        <v>0</v>
      </c>
      <c r="J301" s="20">
        <v>0</v>
      </c>
      <c r="K301" s="20">
        <v>0</v>
      </c>
      <c r="L301" s="16" t="s">
        <v>110</v>
      </c>
    </row>
    <row r="302" spans="1:12">
      <c r="A302" s="12" t="s">
        <v>10</v>
      </c>
      <c r="B302" s="17">
        <v>45657</v>
      </c>
      <c r="C302" s="17">
        <v>45657</v>
      </c>
      <c r="D302" s="15">
        <v>0</v>
      </c>
      <c r="E302" s="15">
        <v>0</v>
      </c>
      <c r="F302" s="12" t="s">
        <v>22</v>
      </c>
      <c r="G302" s="18" t="s">
        <v>110</v>
      </c>
      <c r="H302" s="18" t="s">
        <v>110</v>
      </c>
      <c r="I302" s="15">
        <v>0</v>
      </c>
      <c r="J302" s="15">
        <v>0</v>
      </c>
      <c r="K302" s="15">
        <v>0</v>
      </c>
      <c r="L302" s="12" t="s">
        <v>110</v>
      </c>
    </row>
    <row r="303" spans="1:12">
      <c r="A303" s="16" t="s">
        <v>10</v>
      </c>
      <c r="B303" s="19">
        <v>45657</v>
      </c>
      <c r="C303" s="19">
        <v>45657</v>
      </c>
      <c r="D303" s="20">
        <v>0</v>
      </c>
      <c r="E303" s="20">
        <v>0</v>
      </c>
      <c r="F303" s="16" t="s">
        <v>7</v>
      </c>
      <c r="G303" s="21" t="s">
        <v>110</v>
      </c>
      <c r="H303" s="21" t="s">
        <v>110</v>
      </c>
      <c r="I303" s="20">
        <v>0</v>
      </c>
      <c r="J303" s="20">
        <v>0</v>
      </c>
      <c r="K303" s="20">
        <v>0</v>
      </c>
      <c r="L303" s="16" t="s">
        <v>110</v>
      </c>
    </row>
    <row r="304" spans="1:12">
      <c r="A304" s="12" t="s">
        <v>46</v>
      </c>
      <c r="B304" s="17">
        <v>45657</v>
      </c>
      <c r="C304" s="17">
        <v>45659</v>
      </c>
      <c r="D304" s="15">
        <v>2</v>
      </c>
      <c r="E304" s="15">
        <v>0</v>
      </c>
      <c r="F304" s="12" t="s">
        <v>17</v>
      </c>
      <c r="G304" s="18" t="s">
        <v>110</v>
      </c>
      <c r="H304" s="18" t="s">
        <v>110</v>
      </c>
      <c r="I304" s="15">
        <v>0</v>
      </c>
      <c r="J304" s="15">
        <v>0</v>
      </c>
      <c r="K304" s="15">
        <v>0</v>
      </c>
      <c r="L304" s="12" t="s">
        <v>110</v>
      </c>
    </row>
    <row r="305" spans="1:12">
      <c r="A305" s="16" t="s">
        <v>10</v>
      </c>
      <c r="B305" s="19">
        <v>45657</v>
      </c>
      <c r="C305" s="19">
        <v>45657</v>
      </c>
      <c r="D305" s="20">
        <v>0</v>
      </c>
      <c r="E305" s="20">
        <v>0</v>
      </c>
      <c r="F305" s="16" t="s">
        <v>13</v>
      </c>
      <c r="G305" s="21" t="s">
        <v>110</v>
      </c>
      <c r="H305" s="21" t="s">
        <v>110</v>
      </c>
      <c r="I305" s="20">
        <v>0</v>
      </c>
      <c r="J305" s="20">
        <v>0</v>
      </c>
      <c r="K305" s="20">
        <v>0</v>
      </c>
      <c r="L305" s="16" t="s">
        <v>110</v>
      </c>
    </row>
    <row r="306" spans="1:12">
      <c r="A306" s="12" t="s">
        <v>29</v>
      </c>
      <c r="B306" s="17">
        <v>45657</v>
      </c>
      <c r="C306" s="17">
        <v>45657</v>
      </c>
      <c r="D306" s="15">
        <v>0</v>
      </c>
      <c r="E306" s="15">
        <v>0</v>
      </c>
      <c r="F306" s="12" t="s">
        <v>19</v>
      </c>
      <c r="G306" s="18">
        <v>-104.95447086</v>
      </c>
      <c r="H306" s="18">
        <v>39.739976970000001</v>
      </c>
      <c r="I306" s="15">
        <v>1</v>
      </c>
      <c r="J306" s="15">
        <v>0</v>
      </c>
      <c r="K306" s="15">
        <v>0</v>
      </c>
      <c r="L306" s="12" t="s">
        <v>200</v>
      </c>
    </row>
    <row r="307" spans="1:12">
      <c r="A307" s="16" t="s">
        <v>46</v>
      </c>
      <c r="B307" s="19">
        <v>45657</v>
      </c>
      <c r="C307" s="19">
        <v>45657</v>
      </c>
      <c r="D307" s="20">
        <v>0</v>
      </c>
      <c r="E307" s="20">
        <v>0</v>
      </c>
      <c r="F307" s="16" t="s">
        <v>9</v>
      </c>
      <c r="G307" s="21" t="s">
        <v>110</v>
      </c>
      <c r="H307" s="21" t="s">
        <v>110</v>
      </c>
      <c r="I307" s="20">
        <v>0</v>
      </c>
      <c r="J307" s="20">
        <v>0</v>
      </c>
      <c r="K307" s="20">
        <v>0</v>
      </c>
      <c r="L307" s="16" t="s">
        <v>110</v>
      </c>
    </row>
    <row r="308" spans="1:12">
      <c r="A308" s="12" t="s">
        <v>29</v>
      </c>
      <c r="B308" s="17">
        <v>45657</v>
      </c>
      <c r="C308" s="17">
        <v>45657</v>
      </c>
      <c r="D308" s="15">
        <v>0</v>
      </c>
      <c r="E308" s="15">
        <v>0</v>
      </c>
      <c r="F308" s="12" t="s">
        <v>19</v>
      </c>
      <c r="G308" s="18">
        <v>-104.94882849</v>
      </c>
      <c r="H308" s="18">
        <v>39.718210560000003</v>
      </c>
      <c r="I308" s="15">
        <v>1</v>
      </c>
      <c r="J308" s="15">
        <v>0</v>
      </c>
      <c r="K308" s="15">
        <v>0</v>
      </c>
      <c r="L308" s="12" t="s">
        <v>198</v>
      </c>
    </row>
    <row r="309" spans="1:12">
      <c r="A309" s="16" t="s">
        <v>46</v>
      </c>
      <c r="B309" s="19">
        <v>45657</v>
      </c>
      <c r="C309" s="19">
        <v>45657</v>
      </c>
      <c r="D309" s="20">
        <v>0</v>
      </c>
      <c r="E309" s="20">
        <v>0</v>
      </c>
      <c r="F309" s="16" t="s">
        <v>96</v>
      </c>
      <c r="G309" s="21" t="s">
        <v>110</v>
      </c>
      <c r="H309" s="21" t="s">
        <v>110</v>
      </c>
      <c r="I309" s="20">
        <v>0</v>
      </c>
      <c r="J309" s="20">
        <v>0</v>
      </c>
      <c r="K309" s="20">
        <v>0</v>
      </c>
      <c r="L309" s="16" t="s">
        <v>110</v>
      </c>
    </row>
    <row r="310" spans="1:12">
      <c r="A310" s="12" t="s">
        <v>10</v>
      </c>
      <c r="B310" s="17">
        <v>45657</v>
      </c>
      <c r="C310" s="17">
        <v>45657</v>
      </c>
      <c r="D310" s="15">
        <v>0</v>
      </c>
      <c r="E310" s="15">
        <v>0</v>
      </c>
      <c r="F310" s="12" t="s">
        <v>96</v>
      </c>
      <c r="G310" s="18">
        <v>-104.94177302</v>
      </c>
      <c r="H310" s="18">
        <v>39.700593810000001</v>
      </c>
      <c r="I310" s="15">
        <v>1</v>
      </c>
      <c r="J310" s="15">
        <v>0</v>
      </c>
      <c r="K310" s="15">
        <v>0</v>
      </c>
      <c r="L310" s="12" t="s">
        <v>110</v>
      </c>
    </row>
    <row r="311" spans="1:12">
      <c r="A311" s="16" t="s">
        <v>10</v>
      </c>
      <c r="B311" s="19">
        <v>45657</v>
      </c>
      <c r="C311" s="19">
        <v>45657</v>
      </c>
      <c r="D311" s="20">
        <v>0</v>
      </c>
      <c r="E311" s="20">
        <v>0</v>
      </c>
      <c r="F311" s="16" t="s">
        <v>7</v>
      </c>
      <c r="G311" s="21" t="s">
        <v>110</v>
      </c>
      <c r="H311" s="21" t="s">
        <v>110</v>
      </c>
      <c r="I311" s="20">
        <v>0</v>
      </c>
      <c r="J311" s="20">
        <v>0</v>
      </c>
      <c r="K311" s="20">
        <v>0</v>
      </c>
      <c r="L311" s="16" t="s">
        <v>110</v>
      </c>
    </row>
    <row r="312" spans="1:12">
      <c r="A312" s="12" t="s">
        <v>4</v>
      </c>
      <c r="B312" s="17">
        <v>45657</v>
      </c>
      <c r="C312" s="17">
        <v>45659</v>
      </c>
      <c r="D312" s="15">
        <v>2</v>
      </c>
      <c r="E312" s="15">
        <v>0</v>
      </c>
      <c r="F312" s="12" t="s">
        <v>22</v>
      </c>
      <c r="G312" s="18" t="s">
        <v>110</v>
      </c>
      <c r="H312" s="18" t="s">
        <v>110</v>
      </c>
      <c r="I312" s="15">
        <v>0</v>
      </c>
      <c r="J312" s="15">
        <v>0</v>
      </c>
      <c r="K312" s="15">
        <v>0</v>
      </c>
      <c r="L312" s="12" t="s">
        <v>110</v>
      </c>
    </row>
    <row r="313" spans="1:12">
      <c r="A313" s="16" t="s">
        <v>46</v>
      </c>
      <c r="B313" s="19">
        <v>45657</v>
      </c>
      <c r="C313" s="19">
        <v>45674</v>
      </c>
      <c r="D313" s="20">
        <v>17</v>
      </c>
      <c r="E313" s="20">
        <v>0</v>
      </c>
      <c r="F313" s="16" t="s">
        <v>17</v>
      </c>
      <c r="G313" s="21" t="s">
        <v>110</v>
      </c>
      <c r="H313" s="21" t="s">
        <v>110</v>
      </c>
      <c r="I313" s="20">
        <v>0</v>
      </c>
      <c r="J313" s="20">
        <v>0</v>
      </c>
      <c r="K313" s="20">
        <v>0</v>
      </c>
      <c r="L313" s="16" t="s">
        <v>110</v>
      </c>
    </row>
    <row r="314" spans="1:12">
      <c r="A314" s="12" t="s">
        <v>46</v>
      </c>
      <c r="B314" s="17">
        <v>45657</v>
      </c>
      <c r="C314" s="17">
        <v>45665</v>
      </c>
      <c r="D314" s="15">
        <v>8</v>
      </c>
      <c r="E314" s="15">
        <v>0</v>
      </c>
      <c r="F314" s="12" t="s">
        <v>17</v>
      </c>
      <c r="G314" s="18">
        <v>-104.99881310000001</v>
      </c>
      <c r="H314" s="18">
        <v>39.7177243</v>
      </c>
      <c r="I314" s="15">
        <v>1</v>
      </c>
      <c r="J314" s="15">
        <v>0</v>
      </c>
      <c r="K314" s="15">
        <v>0</v>
      </c>
      <c r="L314" s="12" t="s">
        <v>197</v>
      </c>
    </row>
    <row r="315" spans="1:12">
      <c r="A315" s="16" t="s">
        <v>46</v>
      </c>
      <c r="B315" s="19">
        <v>45657</v>
      </c>
      <c r="C315" s="19">
        <v>45659</v>
      </c>
      <c r="D315" s="20">
        <v>2</v>
      </c>
      <c r="E315" s="20">
        <v>0</v>
      </c>
      <c r="F315" s="16" t="s">
        <v>17</v>
      </c>
      <c r="G315" s="21" t="s">
        <v>110</v>
      </c>
      <c r="H315" s="21" t="s">
        <v>110</v>
      </c>
      <c r="I315" s="20">
        <v>0</v>
      </c>
      <c r="J315" s="20">
        <v>0</v>
      </c>
      <c r="K315" s="20">
        <v>0</v>
      </c>
      <c r="L315" s="16" t="s">
        <v>110</v>
      </c>
    </row>
    <row r="316" spans="1:12">
      <c r="A316" s="12" t="s">
        <v>4</v>
      </c>
      <c r="B316" s="17">
        <v>45657</v>
      </c>
      <c r="C316" s="17">
        <v>45657</v>
      </c>
      <c r="D316" s="15">
        <v>0</v>
      </c>
      <c r="E316" s="15">
        <v>0</v>
      </c>
      <c r="F316" s="12" t="s">
        <v>5</v>
      </c>
      <c r="G316" s="18" t="s">
        <v>110</v>
      </c>
      <c r="H316" s="18" t="s">
        <v>110</v>
      </c>
      <c r="I316" s="15">
        <v>0</v>
      </c>
      <c r="J316" s="15">
        <v>0</v>
      </c>
      <c r="K316" s="15">
        <v>0</v>
      </c>
      <c r="L316" s="12" t="s">
        <v>110</v>
      </c>
    </row>
    <row r="317" spans="1:12">
      <c r="A317" s="16" t="s">
        <v>46</v>
      </c>
      <c r="B317" s="19">
        <v>45657</v>
      </c>
      <c r="C317" s="19">
        <v>45674</v>
      </c>
      <c r="D317" s="20">
        <v>17</v>
      </c>
      <c r="E317" s="20">
        <v>0</v>
      </c>
      <c r="F317" s="16" t="s">
        <v>17</v>
      </c>
      <c r="G317" s="21">
        <v>-104.87988482</v>
      </c>
      <c r="H317" s="21">
        <v>39.784780920000003</v>
      </c>
      <c r="I317" s="20">
        <v>1</v>
      </c>
      <c r="J317" s="20">
        <v>0</v>
      </c>
      <c r="K317" s="20">
        <v>0</v>
      </c>
      <c r="L317" s="16" t="s">
        <v>201</v>
      </c>
    </row>
    <row r="318" spans="1:12">
      <c r="A318" s="12" t="s">
        <v>10</v>
      </c>
      <c r="B318" s="17">
        <v>45657</v>
      </c>
      <c r="C318" s="17">
        <v>45657</v>
      </c>
      <c r="D318" s="15">
        <v>0</v>
      </c>
      <c r="E318" s="15">
        <v>0</v>
      </c>
      <c r="F318" s="12" t="s">
        <v>96</v>
      </c>
      <c r="G318" s="18" t="s">
        <v>110</v>
      </c>
      <c r="H318" s="18" t="s">
        <v>110</v>
      </c>
      <c r="I318" s="15">
        <v>0</v>
      </c>
      <c r="J318" s="15">
        <v>0</v>
      </c>
      <c r="K318" s="15">
        <v>0</v>
      </c>
      <c r="L318" s="12" t="s">
        <v>110</v>
      </c>
    </row>
    <row r="319" spans="1:12">
      <c r="A319" s="16" t="s">
        <v>10</v>
      </c>
      <c r="B319" s="19">
        <v>45657</v>
      </c>
      <c r="C319" s="19">
        <v>45657</v>
      </c>
      <c r="D319" s="20">
        <v>0</v>
      </c>
      <c r="E319" s="20">
        <v>0</v>
      </c>
      <c r="F319" s="16" t="s">
        <v>13</v>
      </c>
      <c r="G319" s="21" t="s">
        <v>110</v>
      </c>
      <c r="H319" s="21" t="s">
        <v>110</v>
      </c>
      <c r="I319" s="20">
        <v>0</v>
      </c>
      <c r="J319" s="20">
        <v>0</v>
      </c>
      <c r="K319" s="20">
        <v>0</v>
      </c>
      <c r="L319" s="16" t="s">
        <v>110</v>
      </c>
    </row>
    <row r="320" spans="1:12">
      <c r="A320" s="12" t="s">
        <v>46</v>
      </c>
      <c r="B320" s="17">
        <v>45657</v>
      </c>
      <c r="C320" s="17">
        <v>45657</v>
      </c>
      <c r="D320" s="15">
        <v>0</v>
      </c>
      <c r="E320" s="15">
        <v>0</v>
      </c>
      <c r="F320" s="12" t="s">
        <v>5</v>
      </c>
      <c r="G320" s="18" t="s">
        <v>110</v>
      </c>
      <c r="H320" s="18" t="s">
        <v>110</v>
      </c>
      <c r="I320" s="15">
        <v>0</v>
      </c>
      <c r="J320" s="15">
        <v>0</v>
      </c>
      <c r="K320" s="15">
        <v>0</v>
      </c>
      <c r="L320" s="12" t="s">
        <v>110</v>
      </c>
    </row>
    <row r="321" spans="1:12">
      <c r="A321" s="16" t="s">
        <v>46</v>
      </c>
      <c r="B321" s="19">
        <v>45657</v>
      </c>
      <c r="C321" s="19">
        <v>45657</v>
      </c>
      <c r="D321" s="20">
        <v>0</v>
      </c>
      <c r="E321" s="20">
        <v>0</v>
      </c>
      <c r="F321" s="16" t="s">
        <v>13</v>
      </c>
      <c r="G321" s="21" t="s">
        <v>110</v>
      </c>
      <c r="H321" s="21" t="s">
        <v>110</v>
      </c>
      <c r="I321" s="20">
        <v>0</v>
      </c>
      <c r="J321" s="20">
        <v>0</v>
      </c>
      <c r="K321" s="20">
        <v>0</v>
      </c>
      <c r="L321" s="16" t="s">
        <v>110</v>
      </c>
    </row>
    <row r="322" spans="1:12">
      <c r="A322" s="12" t="s">
        <v>38</v>
      </c>
      <c r="B322" s="17">
        <v>45657</v>
      </c>
      <c r="C322" s="17" t="s">
        <v>110</v>
      </c>
      <c r="D322" s="15" t="e">
        <v>#N/A</v>
      </c>
      <c r="E322" s="15">
        <v>1</v>
      </c>
      <c r="F322" s="12" t="s">
        <v>23</v>
      </c>
      <c r="G322" s="18" t="s">
        <v>110</v>
      </c>
      <c r="H322" s="18" t="s">
        <v>110</v>
      </c>
      <c r="I322" s="15">
        <v>0</v>
      </c>
      <c r="J322" s="15">
        <v>0</v>
      </c>
      <c r="K322" s="15">
        <v>0</v>
      </c>
      <c r="L322" s="12" t="s">
        <v>110</v>
      </c>
    </row>
    <row r="323" spans="1:12">
      <c r="A323" s="16" t="s">
        <v>10</v>
      </c>
      <c r="B323" s="19">
        <v>45657</v>
      </c>
      <c r="C323" s="19">
        <v>45657</v>
      </c>
      <c r="D323" s="20">
        <v>0</v>
      </c>
      <c r="E323" s="20">
        <v>0</v>
      </c>
      <c r="F323" s="16" t="s">
        <v>13</v>
      </c>
      <c r="G323" s="21" t="s">
        <v>110</v>
      </c>
      <c r="H323" s="21" t="s">
        <v>110</v>
      </c>
      <c r="I323" s="20">
        <v>0</v>
      </c>
      <c r="J323" s="20">
        <v>0</v>
      </c>
      <c r="K323" s="20">
        <v>0</v>
      </c>
      <c r="L323" s="16" t="s">
        <v>110</v>
      </c>
    </row>
    <row r="324" spans="1:12">
      <c r="A324" s="12" t="s">
        <v>46</v>
      </c>
      <c r="B324" s="17">
        <v>45657</v>
      </c>
      <c r="C324" s="17">
        <v>45657</v>
      </c>
      <c r="D324" s="15">
        <v>0</v>
      </c>
      <c r="E324" s="15">
        <v>0</v>
      </c>
      <c r="F324" s="12" t="s">
        <v>5</v>
      </c>
      <c r="G324" s="18" t="s">
        <v>110</v>
      </c>
      <c r="H324" s="18" t="s">
        <v>110</v>
      </c>
      <c r="I324" s="15">
        <v>0</v>
      </c>
      <c r="J324" s="15">
        <v>0</v>
      </c>
      <c r="K324" s="15">
        <v>0</v>
      </c>
      <c r="L324" s="12" t="s">
        <v>110</v>
      </c>
    </row>
    <row r="325" spans="1:12">
      <c r="A325" s="16" t="s">
        <v>46</v>
      </c>
      <c r="B325" s="19">
        <v>45657</v>
      </c>
      <c r="C325" s="19">
        <v>45657</v>
      </c>
      <c r="D325" s="20">
        <v>0</v>
      </c>
      <c r="E325" s="20">
        <v>0</v>
      </c>
      <c r="F325" s="16" t="s">
        <v>5</v>
      </c>
      <c r="G325" s="21" t="s">
        <v>110</v>
      </c>
      <c r="H325" s="21" t="s">
        <v>110</v>
      </c>
      <c r="I325" s="20">
        <v>0</v>
      </c>
      <c r="J325" s="20">
        <v>0</v>
      </c>
      <c r="K325" s="20">
        <v>0</v>
      </c>
      <c r="L325" s="16" t="s">
        <v>110</v>
      </c>
    </row>
    <row r="326" spans="1:12">
      <c r="A326" s="12" t="s">
        <v>46</v>
      </c>
      <c r="B326" s="17">
        <v>45657</v>
      </c>
      <c r="C326" s="17">
        <v>45686</v>
      </c>
      <c r="D326" s="15">
        <v>29</v>
      </c>
      <c r="E326" s="15">
        <v>0</v>
      </c>
      <c r="F326" s="12" t="s">
        <v>13</v>
      </c>
      <c r="G326" s="18">
        <v>-105.04554082</v>
      </c>
      <c r="H326" s="18">
        <v>39.63643398</v>
      </c>
      <c r="I326" s="15">
        <v>1</v>
      </c>
      <c r="J326" s="15">
        <v>0</v>
      </c>
      <c r="K326" s="15">
        <v>0</v>
      </c>
      <c r="L326" s="12" t="s">
        <v>207</v>
      </c>
    </row>
    <row r="327" spans="1:12">
      <c r="A327" s="16" t="s">
        <v>10</v>
      </c>
      <c r="B327" s="19">
        <v>45657</v>
      </c>
      <c r="C327" s="19">
        <v>45657</v>
      </c>
      <c r="D327" s="20">
        <v>0</v>
      </c>
      <c r="E327" s="20">
        <v>0</v>
      </c>
      <c r="F327" s="16" t="s">
        <v>7</v>
      </c>
      <c r="G327" s="21" t="s">
        <v>110</v>
      </c>
      <c r="H327" s="21" t="s">
        <v>110</v>
      </c>
      <c r="I327" s="20">
        <v>0</v>
      </c>
      <c r="J327" s="20">
        <v>0</v>
      </c>
      <c r="K327" s="20">
        <v>0</v>
      </c>
      <c r="L327" s="16" t="s">
        <v>110</v>
      </c>
    </row>
    <row r="328" spans="1:12">
      <c r="A328" s="12" t="s">
        <v>27</v>
      </c>
      <c r="B328" s="17">
        <v>45657</v>
      </c>
      <c r="C328" s="17">
        <v>45657</v>
      </c>
      <c r="D328" s="15">
        <v>0</v>
      </c>
      <c r="E328" s="15">
        <v>0</v>
      </c>
      <c r="F328" s="12" t="s">
        <v>96</v>
      </c>
      <c r="G328" s="18" t="s">
        <v>110</v>
      </c>
      <c r="H328" s="18" t="s">
        <v>110</v>
      </c>
      <c r="I328" s="15">
        <v>0</v>
      </c>
      <c r="J328" s="15">
        <v>0</v>
      </c>
      <c r="K328" s="15">
        <v>0</v>
      </c>
      <c r="L328" s="12" t="s">
        <v>110</v>
      </c>
    </row>
    <row r="329" spans="1:12">
      <c r="A329" s="16" t="s">
        <v>46</v>
      </c>
      <c r="B329" s="19">
        <v>45657</v>
      </c>
      <c r="C329" s="19">
        <v>45666</v>
      </c>
      <c r="D329" s="20">
        <v>9</v>
      </c>
      <c r="E329" s="20">
        <v>0</v>
      </c>
      <c r="F329" s="16" t="s">
        <v>17</v>
      </c>
      <c r="G329" s="21">
        <v>-104.99228110999999</v>
      </c>
      <c r="H329" s="21">
        <v>39.771461260000002</v>
      </c>
      <c r="I329" s="20">
        <v>1</v>
      </c>
      <c r="J329" s="20">
        <v>0</v>
      </c>
      <c r="K329" s="20">
        <v>0</v>
      </c>
      <c r="L329" s="16" t="s">
        <v>206</v>
      </c>
    </row>
    <row r="330" spans="1:12">
      <c r="A330" s="12" t="s">
        <v>4</v>
      </c>
      <c r="B330" s="17">
        <v>45657</v>
      </c>
      <c r="C330" s="17">
        <v>45660</v>
      </c>
      <c r="D330" s="15">
        <v>3</v>
      </c>
      <c r="E330" s="15">
        <v>0</v>
      </c>
      <c r="F330" s="12" t="s">
        <v>17</v>
      </c>
      <c r="G330" s="18">
        <v>-105.01105813</v>
      </c>
      <c r="H330" s="18">
        <v>39.764192680000001</v>
      </c>
      <c r="I330" s="15">
        <v>1</v>
      </c>
      <c r="J330" s="15">
        <v>0</v>
      </c>
      <c r="K330" s="15">
        <v>0</v>
      </c>
      <c r="L330" s="12" t="s">
        <v>202</v>
      </c>
    </row>
    <row r="331" spans="1:12">
      <c r="A331" s="16" t="s">
        <v>46</v>
      </c>
      <c r="B331" s="19">
        <v>45657</v>
      </c>
      <c r="C331" s="19">
        <v>45657</v>
      </c>
      <c r="D331" s="20">
        <v>0</v>
      </c>
      <c r="E331" s="20">
        <v>0</v>
      </c>
      <c r="F331" s="16" t="s">
        <v>5</v>
      </c>
      <c r="G331" s="21" t="s">
        <v>110</v>
      </c>
      <c r="H331" s="21" t="s">
        <v>110</v>
      </c>
      <c r="I331" s="20">
        <v>0</v>
      </c>
      <c r="J331" s="20">
        <v>0</v>
      </c>
      <c r="K331" s="20">
        <v>0</v>
      </c>
      <c r="L331" s="16" t="s">
        <v>110</v>
      </c>
    </row>
    <row r="332" spans="1:12">
      <c r="A332" s="12" t="s">
        <v>10</v>
      </c>
      <c r="B332" s="17">
        <v>45657</v>
      </c>
      <c r="C332" s="17">
        <v>45657</v>
      </c>
      <c r="D332" s="15">
        <v>0</v>
      </c>
      <c r="E332" s="15">
        <v>0</v>
      </c>
      <c r="F332" s="12" t="s">
        <v>13</v>
      </c>
      <c r="G332" s="18" t="s">
        <v>110</v>
      </c>
      <c r="H332" s="18" t="s">
        <v>110</v>
      </c>
      <c r="I332" s="15">
        <v>0</v>
      </c>
      <c r="J332" s="15">
        <v>0</v>
      </c>
      <c r="K332" s="15">
        <v>0</v>
      </c>
      <c r="L332" s="12" t="s">
        <v>110</v>
      </c>
    </row>
    <row r="333" spans="1:12">
      <c r="A333" s="16" t="s">
        <v>46</v>
      </c>
      <c r="B333" s="19">
        <v>45657</v>
      </c>
      <c r="C333" s="19">
        <v>45657</v>
      </c>
      <c r="D333" s="20">
        <v>0</v>
      </c>
      <c r="E333" s="20">
        <v>0</v>
      </c>
      <c r="F333" s="16" t="s">
        <v>9</v>
      </c>
      <c r="G333" s="21" t="s">
        <v>110</v>
      </c>
      <c r="H333" s="21" t="s">
        <v>110</v>
      </c>
      <c r="I333" s="20">
        <v>0</v>
      </c>
      <c r="J333" s="20">
        <v>0</v>
      </c>
      <c r="K333" s="20">
        <v>0</v>
      </c>
      <c r="L333" s="16" t="s">
        <v>110</v>
      </c>
    </row>
    <row r="334" spans="1:12">
      <c r="A334" s="12" t="s">
        <v>10</v>
      </c>
      <c r="B334" s="17">
        <v>45657</v>
      </c>
      <c r="C334" s="17">
        <v>45657</v>
      </c>
      <c r="D334" s="15">
        <v>0</v>
      </c>
      <c r="E334" s="15">
        <v>0</v>
      </c>
      <c r="F334" s="12" t="s">
        <v>9</v>
      </c>
      <c r="G334" s="18" t="s">
        <v>110</v>
      </c>
      <c r="H334" s="18" t="s">
        <v>110</v>
      </c>
      <c r="I334" s="15">
        <v>0</v>
      </c>
      <c r="J334" s="15">
        <v>0</v>
      </c>
      <c r="K334" s="15">
        <v>0</v>
      </c>
      <c r="L334" s="12" t="s">
        <v>110</v>
      </c>
    </row>
    <row r="335" spans="1:12">
      <c r="A335" s="16" t="s">
        <v>4</v>
      </c>
      <c r="B335" s="19">
        <v>45657</v>
      </c>
      <c r="C335" s="19">
        <v>45657</v>
      </c>
      <c r="D335" s="20">
        <v>0</v>
      </c>
      <c r="E335" s="20">
        <v>0</v>
      </c>
      <c r="F335" s="16" t="s">
        <v>5</v>
      </c>
      <c r="G335" s="21" t="s">
        <v>110</v>
      </c>
      <c r="H335" s="21" t="s">
        <v>110</v>
      </c>
      <c r="I335" s="20">
        <v>0</v>
      </c>
      <c r="J335" s="20">
        <v>0</v>
      </c>
      <c r="K335" s="20">
        <v>0</v>
      </c>
      <c r="L335" s="16" t="s">
        <v>110</v>
      </c>
    </row>
    <row r="336" spans="1:12">
      <c r="A336" s="12" t="s">
        <v>4</v>
      </c>
      <c r="B336" s="17">
        <v>45657</v>
      </c>
      <c r="C336" s="17">
        <v>45657</v>
      </c>
      <c r="D336" s="15">
        <v>0</v>
      </c>
      <c r="E336" s="15">
        <v>0</v>
      </c>
      <c r="F336" s="12" t="s">
        <v>5</v>
      </c>
      <c r="G336" s="18" t="s">
        <v>110</v>
      </c>
      <c r="H336" s="18" t="s">
        <v>110</v>
      </c>
      <c r="I336" s="15">
        <v>0</v>
      </c>
      <c r="J336" s="15">
        <v>0</v>
      </c>
      <c r="K336" s="15">
        <v>0</v>
      </c>
      <c r="L336" s="12" t="s">
        <v>110</v>
      </c>
    </row>
    <row r="337" spans="1:12">
      <c r="A337" s="16" t="s">
        <v>10</v>
      </c>
      <c r="B337" s="19">
        <v>45657</v>
      </c>
      <c r="C337" s="19">
        <v>45657</v>
      </c>
      <c r="D337" s="20">
        <v>0</v>
      </c>
      <c r="E337" s="20">
        <v>0</v>
      </c>
      <c r="F337" s="16" t="s">
        <v>7</v>
      </c>
      <c r="G337" s="21" t="s">
        <v>110</v>
      </c>
      <c r="H337" s="21" t="s">
        <v>110</v>
      </c>
      <c r="I337" s="20">
        <v>0</v>
      </c>
      <c r="J337" s="20">
        <v>0</v>
      </c>
      <c r="K337" s="20">
        <v>0</v>
      </c>
      <c r="L337" s="16" t="s">
        <v>110</v>
      </c>
    </row>
    <row r="338" spans="1:12">
      <c r="A338" s="12" t="s">
        <v>4</v>
      </c>
      <c r="B338" s="17">
        <v>45657</v>
      </c>
      <c r="C338" s="17">
        <v>45657</v>
      </c>
      <c r="D338" s="15">
        <v>0</v>
      </c>
      <c r="E338" s="15">
        <v>0</v>
      </c>
      <c r="F338" s="12" t="s">
        <v>5</v>
      </c>
      <c r="G338" s="18" t="s">
        <v>110</v>
      </c>
      <c r="H338" s="18" t="s">
        <v>110</v>
      </c>
      <c r="I338" s="15">
        <v>0</v>
      </c>
      <c r="J338" s="15">
        <v>0</v>
      </c>
      <c r="K338" s="15">
        <v>0</v>
      </c>
      <c r="L338" s="12" t="s">
        <v>110</v>
      </c>
    </row>
    <row r="339" spans="1:12">
      <c r="A339" s="16" t="s">
        <v>4</v>
      </c>
      <c r="B339" s="19">
        <v>45657</v>
      </c>
      <c r="C339" s="19">
        <v>45657</v>
      </c>
      <c r="D339" s="20">
        <v>0</v>
      </c>
      <c r="E339" s="20">
        <v>0</v>
      </c>
      <c r="F339" s="16" t="s">
        <v>5</v>
      </c>
      <c r="G339" s="21" t="s">
        <v>110</v>
      </c>
      <c r="H339" s="21" t="s">
        <v>110</v>
      </c>
      <c r="I339" s="20">
        <v>0</v>
      </c>
      <c r="J339" s="20">
        <v>0</v>
      </c>
      <c r="K339" s="20">
        <v>0</v>
      </c>
      <c r="L339" s="16" t="s">
        <v>110</v>
      </c>
    </row>
    <row r="340" spans="1:12">
      <c r="A340" s="12" t="s">
        <v>10</v>
      </c>
      <c r="B340" s="17">
        <v>45657</v>
      </c>
      <c r="C340" s="17">
        <v>45657</v>
      </c>
      <c r="D340" s="15">
        <v>0</v>
      </c>
      <c r="E340" s="15">
        <v>0</v>
      </c>
      <c r="F340" s="12" t="s">
        <v>7</v>
      </c>
      <c r="G340" s="18" t="s">
        <v>110</v>
      </c>
      <c r="H340" s="18" t="s">
        <v>110</v>
      </c>
      <c r="I340" s="15">
        <v>0</v>
      </c>
      <c r="J340" s="15">
        <v>0</v>
      </c>
      <c r="K340" s="15">
        <v>0</v>
      </c>
      <c r="L340" s="12" t="s">
        <v>110</v>
      </c>
    </row>
    <row r="341" spans="1:12">
      <c r="A341" s="16" t="s">
        <v>38</v>
      </c>
      <c r="B341" s="19">
        <v>45657</v>
      </c>
      <c r="C341" s="19" t="s">
        <v>110</v>
      </c>
      <c r="D341" s="20" t="e">
        <v>#N/A</v>
      </c>
      <c r="E341" s="20">
        <v>1</v>
      </c>
      <c r="F341" s="16" t="s">
        <v>5</v>
      </c>
      <c r="G341" s="21" t="s">
        <v>110</v>
      </c>
      <c r="H341" s="21" t="s">
        <v>110</v>
      </c>
      <c r="I341" s="20">
        <v>0</v>
      </c>
      <c r="J341" s="20">
        <v>0</v>
      </c>
      <c r="K341" s="20">
        <v>0</v>
      </c>
      <c r="L341" s="16" t="s">
        <v>110</v>
      </c>
    </row>
    <row r="342" spans="1:12">
      <c r="A342" s="12" t="s">
        <v>29</v>
      </c>
      <c r="B342" s="17">
        <v>45657</v>
      </c>
      <c r="C342" s="17">
        <v>45657</v>
      </c>
      <c r="D342" s="15">
        <v>0</v>
      </c>
      <c r="E342" s="15">
        <v>0</v>
      </c>
      <c r="F342" s="12" t="s">
        <v>19</v>
      </c>
      <c r="G342" s="18">
        <v>-104.94882849</v>
      </c>
      <c r="H342" s="18">
        <v>39.718210560000003</v>
      </c>
      <c r="I342" s="15">
        <v>1</v>
      </c>
      <c r="J342" s="15">
        <v>0</v>
      </c>
      <c r="K342" s="15">
        <v>0</v>
      </c>
      <c r="L342" s="12" t="s">
        <v>198</v>
      </c>
    </row>
    <row r="343" spans="1:12">
      <c r="A343" s="16" t="s">
        <v>4</v>
      </c>
      <c r="B343" s="19">
        <v>45657</v>
      </c>
      <c r="C343" s="19">
        <v>45657</v>
      </c>
      <c r="D343" s="20">
        <v>0</v>
      </c>
      <c r="E343" s="20">
        <v>0</v>
      </c>
      <c r="F343" s="16" t="s">
        <v>5</v>
      </c>
      <c r="G343" s="21">
        <v>-104.98144913</v>
      </c>
      <c r="H343" s="21">
        <v>39.741054300000002</v>
      </c>
      <c r="I343" s="20">
        <v>1</v>
      </c>
      <c r="J343" s="20">
        <v>0</v>
      </c>
      <c r="K343" s="20">
        <v>0</v>
      </c>
      <c r="L343" s="16" t="s">
        <v>200</v>
      </c>
    </row>
    <row r="344" spans="1:12">
      <c r="A344" s="12" t="s">
        <v>46</v>
      </c>
      <c r="B344" s="17">
        <v>45657</v>
      </c>
      <c r="C344" s="17">
        <v>45657</v>
      </c>
      <c r="D344" s="15">
        <v>0</v>
      </c>
      <c r="E344" s="15">
        <v>0</v>
      </c>
      <c r="F344" s="12" t="s">
        <v>9</v>
      </c>
      <c r="G344" s="18" t="s">
        <v>110</v>
      </c>
      <c r="H344" s="18" t="s">
        <v>110</v>
      </c>
      <c r="I344" s="15">
        <v>0</v>
      </c>
      <c r="J344" s="15">
        <v>0</v>
      </c>
      <c r="K344" s="15">
        <v>0</v>
      </c>
      <c r="L344" s="12" t="s">
        <v>110</v>
      </c>
    </row>
    <row r="345" spans="1:12">
      <c r="A345" s="16" t="s">
        <v>10</v>
      </c>
      <c r="B345" s="19">
        <v>45657</v>
      </c>
      <c r="C345" s="19">
        <v>45657</v>
      </c>
      <c r="D345" s="20">
        <v>0</v>
      </c>
      <c r="E345" s="20">
        <v>0</v>
      </c>
      <c r="F345" s="16" t="s">
        <v>19</v>
      </c>
      <c r="G345" s="21" t="s">
        <v>110</v>
      </c>
      <c r="H345" s="21" t="s">
        <v>110</v>
      </c>
      <c r="I345" s="20">
        <v>0</v>
      </c>
      <c r="J345" s="20">
        <v>0</v>
      </c>
      <c r="K345" s="20">
        <v>0</v>
      </c>
      <c r="L345" s="16" t="s">
        <v>110</v>
      </c>
    </row>
    <row r="346" spans="1:12">
      <c r="A346" s="12" t="s">
        <v>10</v>
      </c>
      <c r="B346" s="17">
        <v>45657</v>
      </c>
      <c r="C346" s="17">
        <v>45657</v>
      </c>
      <c r="D346" s="15">
        <v>0</v>
      </c>
      <c r="E346" s="15">
        <v>0</v>
      </c>
      <c r="F346" s="12" t="s">
        <v>5</v>
      </c>
      <c r="G346" s="18" t="s">
        <v>110</v>
      </c>
      <c r="H346" s="18" t="s">
        <v>110</v>
      </c>
      <c r="I346" s="15">
        <v>0</v>
      </c>
      <c r="J346" s="15">
        <v>0</v>
      </c>
      <c r="K346" s="15">
        <v>0</v>
      </c>
      <c r="L346" s="12" t="s">
        <v>110</v>
      </c>
    </row>
    <row r="347" spans="1:12">
      <c r="A347" s="16" t="s">
        <v>4</v>
      </c>
      <c r="B347" s="19">
        <v>45657</v>
      </c>
      <c r="C347" s="19">
        <v>45657</v>
      </c>
      <c r="D347" s="20">
        <v>0</v>
      </c>
      <c r="E347" s="20">
        <v>0</v>
      </c>
      <c r="F347" s="16" t="s">
        <v>5</v>
      </c>
      <c r="G347" s="21" t="s">
        <v>110</v>
      </c>
      <c r="H347" s="21" t="s">
        <v>110</v>
      </c>
      <c r="I347" s="20">
        <v>0</v>
      </c>
      <c r="J347" s="20">
        <v>0</v>
      </c>
      <c r="K347" s="20">
        <v>0</v>
      </c>
      <c r="L347" s="16" t="s">
        <v>110</v>
      </c>
    </row>
    <row r="348" spans="1:12">
      <c r="A348" s="12" t="s">
        <v>10</v>
      </c>
      <c r="B348" s="17">
        <v>45657</v>
      </c>
      <c r="C348" s="17">
        <v>45657</v>
      </c>
      <c r="D348" s="15">
        <v>0</v>
      </c>
      <c r="E348" s="15">
        <v>0</v>
      </c>
      <c r="F348" s="12" t="s">
        <v>7</v>
      </c>
      <c r="G348" s="18" t="s">
        <v>110</v>
      </c>
      <c r="H348" s="18" t="s">
        <v>110</v>
      </c>
      <c r="I348" s="15">
        <v>0</v>
      </c>
      <c r="J348" s="15">
        <v>0</v>
      </c>
      <c r="K348" s="15">
        <v>0</v>
      </c>
      <c r="L348" s="12" t="s">
        <v>110</v>
      </c>
    </row>
    <row r="349" spans="1:12">
      <c r="A349" s="16" t="s">
        <v>46</v>
      </c>
      <c r="B349" s="19">
        <v>45657</v>
      </c>
      <c r="C349" s="19">
        <v>45657</v>
      </c>
      <c r="D349" s="20">
        <v>0</v>
      </c>
      <c r="E349" s="20">
        <v>0</v>
      </c>
      <c r="F349" s="16" t="s">
        <v>17</v>
      </c>
      <c r="G349" s="21" t="s">
        <v>110</v>
      </c>
      <c r="H349" s="21" t="s">
        <v>110</v>
      </c>
      <c r="I349" s="20">
        <v>0</v>
      </c>
      <c r="J349" s="20">
        <v>0</v>
      </c>
      <c r="K349" s="20">
        <v>0</v>
      </c>
      <c r="L349" s="16" t="s">
        <v>110</v>
      </c>
    </row>
    <row r="350" spans="1:12">
      <c r="A350" s="12" t="s">
        <v>46</v>
      </c>
      <c r="B350" s="17">
        <v>45657</v>
      </c>
      <c r="C350" s="17">
        <v>45659</v>
      </c>
      <c r="D350" s="15">
        <v>2</v>
      </c>
      <c r="E350" s="15">
        <v>0</v>
      </c>
      <c r="F350" s="12" t="s">
        <v>17</v>
      </c>
      <c r="G350" s="18">
        <v>-104.97595736</v>
      </c>
      <c r="H350" s="18">
        <v>39.731905349999998</v>
      </c>
      <c r="I350" s="15">
        <v>1</v>
      </c>
      <c r="J350" s="15">
        <v>0</v>
      </c>
      <c r="K350" s="15">
        <v>0</v>
      </c>
      <c r="L350" s="12" t="s">
        <v>200</v>
      </c>
    </row>
    <row r="351" spans="1:12">
      <c r="A351" s="16" t="s">
        <v>46</v>
      </c>
      <c r="B351" s="19">
        <v>45657</v>
      </c>
      <c r="C351" s="19">
        <v>45674</v>
      </c>
      <c r="D351" s="20">
        <v>17</v>
      </c>
      <c r="E351" s="20">
        <v>0</v>
      </c>
      <c r="F351" s="16" t="s">
        <v>17</v>
      </c>
      <c r="G351" s="21" t="s">
        <v>110</v>
      </c>
      <c r="H351" s="21" t="s">
        <v>110</v>
      </c>
      <c r="I351" s="20">
        <v>0</v>
      </c>
      <c r="J351" s="20">
        <v>0</v>
      </c>
      <c r="K351" s="20">
        <v>0</v>
      </c>
      <c r="L351" s="16" t="s">
        <v>110</v>
      </c>
    </row>
    <row r="352" spans="1:12">
      <c r="A352" s="12" t="s">
        <v>46</v>
      </c>
      <c r="B352" s="17">
        <v>45657</v>
      </c>
      <c r="C352" s="17">
        <v>45657</v>
      </c>
      <c r="D352" s="15">
        <v>0</v>
      </c>
      <c r="E352" s="15">
        <v>0</v>
      </c>
      <c r="F352" s="12" t="s">
        <v>7</v>
      </c>
      <c r="G352" s="18" t="s">
        <v>110</v>
      </c>
      <c r="H352" s="18" t="s">
        <v>110</v>
      </c>
      <c r="I352" s="15">
        <v>0</v>
      </c>
      <c r="J352" s="15">
        <v>0</v>
      </c>
      <c r="K352" s="15">
        <v>0</v>
      </c>
      <c r="L352" s="12" t="s">
        <v>110</v>
      </c>
    </row>
    <row r="353" spans="1:12">
      <c r="A353" s="16" t="s">
        <v>10</v>
      </c>
      <c r="B353" s="19">
        <v>45657</v>
      </c>
      <c r="C353" s="19">
        <v>45657</v>
      </c>
      <c r="D353" s="20">
        <v>0</v>
      </c>
      <c r="E353" s="20">
        <v>0</v>
      </c>
      <c r="F353" s="16" t="s">
        <v>96</v>
      </c>
      <c r="G353" s="21" t="s">
        <v>110</v>
      </c>
      <c r="H353" s="21" t="s">
        <v>110</v>
      </c>
      <c r="I353" s="20">
        <v>0</v>
      </c>
      <c r="J353" s="20">
        <v>0</v>
      </c>
      <c r="K353" s="20">
        <v>0</v>
      </c>
      <c r="L353" s="16" t="s">
        <v>110</v>
      </c>
    </row>
    <row r="354" spans="1:12">
      <c r="A354" s="12" t="s">
        <v>46</v>
      </c>
      <c r="B354" s="17">
        <v>45657</v>
      </c>
      <c r="C354" s="17">
        <v>45657</v>
      </c>
      <c r="D354" s="15">
        <v>0</v>
      </c>
      <c r="E354" s="15">
        <v>0</v>
      </c>
      <c r="F354" s="12" t="s">
        <v>7</v>
      </c>
      <c r="G354" s="18" t="s">
        <v>110</v>
      </c>
      <c r="H354" s="18" t="s">
        <v>110</v>
      </c>
      <c r="I354" s="15">
        <v>0</v>
      </c>
      <c r="J354" s="15">
        <v>0</v>
      </c>
      <c r="K354" s="15">
        <v>0</v>
      </c>
      <c r="L354" s="12" t="s">
        <v>110</v>
      </c>
    </row>
    <row r="355" spans="1:12">
      <c r="A355" s="16" t="s">
        <v>10</v>
      </c>
      <c r="B355" s="19">
        <v>45657</v>
      </c>
      <c r="C355" s="19">
        <v>45657</v>
      </c>
      <c r="D355" s="20">
        <v>0</v>
      </c>
      <c r="E355" s="20">
        <v>0</v>
      </c>
      <c r="F355" s="16" t="s">
        <v>7</v>
      </c>
      <c r="G355" s="21" t="s">
        <v>110</v>
      </c>
      <c r="H355" s="21" t="s">
        <v>110</v>
      </c>
      <c r="I355" s="20">
        <v>0</v>
      </c>
      <c r="J355" s="20">
        <v>0</v>
      </c>
      <c r="K355" s="20">
        <v>0</v>
      </c>
      <c r="L355" s="16" t="s">
        <v>110</v>
      </c>
    </row>
    <row r="356" spans="1:12">
      <c r="A356" s="12" t="s">
        <v>10</v>
      </c>
      <c r="B356" s="17">
        <v>45657</v>
      </c>
      <c r="C356" s="17">
        <v>45657</v>
      </c>
      <c r="D356" s="15">
        <v>0</v>
      </c>
      <c r="E356" s="15">
        <v>0</v>
      </c>
      <c r="F356" s="12" t="s">
        <v>7</v>
      </c>
      <c r="G356" s="18" t="s">
        <v>110</v>
      </c>
      <c r="H356" s="18" t="s">
        <v>110</v>
      </c>
      <c r="I356" s="15">
        <v>0</v>
      </c>
      <c r="J356" s="15">
        <v>0</v>
      </c>
      <c r="K356" s="15">
        <v>0</v>
      </c>
      <c r="L356" s="12" t="s">
        <v>110</v>
      </c>
    </row>
    <row r="357" spans="1:12">
      <c r="A357" s="16" t="s">
        <v>46</v>
      </c>
      <c r="B357" s="19">
        <v>45657</v>
      </c>
      <c r="C357" s="19">
        <v>45657</v>
      </c>
      <c r="D357" s="20">
        <v>0</v>
      </c>
      <c r="E357" s="20">
        <v>0</v>
      </c>
      <c r="F357" s="16" t="s">
        <v>7</v>
      </c>
      <c r="G357" s="21" t="s">
        <v>110</v>
      </c>
      <c r="H357" s="21" t="s">
        <v>110</v>
      </c>
      <c r="I357" s="20">
        <v>0</v>
      </c>
      <c r="J357" s="20">
        <v>0</v>
      </c>
      <c r="K357" s="20">
        <v>0</v>
      </c>
      <c r="L357" s="16" t="s">
        <v>110</v>
      </c>
    </row>
    <row r="358" spans="1:12">
      <c r="A358" s="12" t="s">
        <v>46</v>
      </c>
      <c r="B358" s="17">
        <v>45657</v>
      </c>
      <c r="C358" s="17">
        <v>45657</v>
      </c>
      <c r="D358" s="15">
        <v>0</v>
      </c>
      <c r="E358" s="15">
        <v>0</v>
      </c>
      <c r="F358" s="12" t="s">
        <v>22</v>
      </c>
      <c r="G358" s="18" t="s">
        <v>110</v>
      </c>
      <c r="H358" s="18" t="s">
        <v>110</v>
      </c>
      <c r="I358" s="15">
        <v>0</v>
      </c>
      <c r="J358" s="15">
        <v>0</v>
      </c>
      <c r="K358" s="15">
        <v>0</v>
      </c>
      <c r="L358" s="12" t="s">
        <v>110</v>
      </c>
    </row>
    <row r="359" spans="1:12">
      <c r="A359" s="16" t="s">
        <v>46</v>
      </c>
      <c r="B359" s="19">
        <v>45657</v>
      </c>
      <c r="C359" s="19">
        <v>45657</v>
      </c>
      <c r="D359" s="20">
        <v>0</v>
      </c>
      <c r="E359" s="20">
        <v>0</v>
      </c>
      <c r="F359" s="16" t="s">
        <v>96</v>
      </c>
      <c r="G359" s="21">
        <v>-105.04829654</v>
      </c>
      <c r="H359" s="21">
        <v>39.754625130000001</v>
      </c>
      <c r="I359" s="20">
        <v>1</v>
      </c>
      <c r="J359" s="20">
        <v>0</v>
      </c>
      <c r="K359" s="20">
        <v>0</v>
      </c>
      <c r="L359" s="16" t="s">
        <v>202</v>
      </c>
    </row>
    <row r="360" spans="1:12">
      <c r="A360" s="12" t="s">
        <v>10</v>
      </c>
      <c r="B360" s="17">
        <v>45657</v>
      </c>
      <c r="C360" s="17">
        <v>45657</v>
      </c>
      <c r="D360" s="15">
        <v>0</v>
      </c>
      <c r="E360" s="15">
        <v>0</v>
      </c>
      <c r="F360" s="12" t="s">
        <v>96</v>
      </c>
      <c r="G360" s="18">
        <v>-104.90390157</v>
      </c>
      <c r="H360" s="18">
        <v>39.654488020000002</v>
      </c>
      <c r="I360" s="15">
        <v>1</v>
      </c>
      <c r="J360" s="15">
        <v>0</v>
      </c>
      <c r="K360" s="15">
        <v>0</v>
      </c>
      <c r="L360" s="12" t="s">
        <v>110</v>
      </c>
    </row>
    <row r="361" spans="1:12">
      <c r="A361" s="16" t="s">
        <v>10</v>
      </c>
      <c r="B361" s="19">
        <v>45657</v>
      </c>
      <c r="C361" s="19">
        <v>45657</v>
      </c>
      <c r="D361" s="20">
        <v>0</v>
      </c>
      <c r="E361" s="20">
        <v>0</v>
      </c>
      <c r="F361" s="16" t="s">
        <v>7</v>
      </c>
      <c r="G361" s="21" t="s">
        <v>110</v>
      </c>
      <c r="H361" s="21" t="s">
        <v>110</v>
      </c>
      <c r="I361" s="20">
        <v>0</v>
      </c>
      <c r="J361" s="20">
        <v>0</v>
      </c>
      <c r="K361" s="20">
        <v>0</v>
      </c>
      <c r="L361" s="16" t="s">
        <v>110</v>
      </c>
    </row>
    <row r="362" spans="1:12">
      <c r="A362" s="12" t="s">
        <v>46</v>
      </c>
      <c r="B362" s="17">
        <v>45657</v>
      </c>
      <c r="C362" s="17">
        <v>45658</v>
      </c>
      <c r="D362" s="15">
        <v>1</v>
      </c>
      <c r="E362" s="15">
        <v>0</v>
      </c>
      <c r="F362" s="12" t="s">
        <v>17</v>
      </c>
      <c r="G362" s="18">
        <v>-104.97428773</v>
      </c>
      <c r="H362" s="18">
        <v>39.669948550000001</v>
      </c>
      <c r="I362" s="15">
        <v>1</v>
      </c>
      <c r="J362" s="15">
        <v>0</v>
      </c>
      <c r="K362" s="15">
        <v>0</v>
      </c>
      <c r="L362" s="12" t="s">
        <v>197</v>
      </c>
    </row>
    <row r="363" spans="1:12">
      <c r="A363" s="16" t="s">
        <v>10</v>
      </c>
      <c r="B363" s="19">
        <v>45657</v>
      </c>
      <c r="C363" s="19">
        <v>45657</v>
      </c>
      <c r="D363" s="20">
        <v>0</v>
      </c>
      <c r="E363" s="20">
        <v>0</v>
      </c>
      <c r="F363" s="16" t="s">
        <v>7</v>
      </c>
      <c r="G363" s="21" t="s">
        <v>110</v>
      </c>
      <c r="H363" s="21" t="s">
        <v>110</v>
      </c>
      <c r="I363" s="20">
        <v>0</v>
      </c>
      <c r="J363" s="20">
        <v>0</v>
      </c>
      <c r="K363" s="20">
        <v>0</v>
      </c>
      <c r="L363" s="16" t="s">
        <v>110</v>
      </c>
    </row>
    <row r="364" spans="1:12">
      <c r="A364" s="12" t="s">
        <v>46</v>
      </c>
      <c r="B364" s="17">
        <v>45657</v>
      </c>
      <c r="C364" s="17">
        <v>45657</v>
      </c>
      <c r="D364" s="15">
        <v>0</v>
      </c>
      <c r="E364" s="15">
        <v>0</v>
      </c>
      <c r="F364" s="12" t="s">
        <v>96</v>
      </c>
      <c r="G364" s="18">
        <v>-104.98813027</v>
      </c>
      <c r="H364" s="18">
        <v>39.740444590000003</v>
      </c>
      <c r="I364" s="15">
        <v>1</v>
      </c>
      <c r="J364" s="15">
        <v>0</v>
      </c>
      <c r="K364" s="15">
        <v>0</v>
      </c>
      <c r="L364" s="12" t="s">
        <v>110</v>
      </c>
    </row>
    <row r="365" spans="1:12">
      <c r="A365" s="16" t="s">
        <v>10</v>
      </c>
      <c r="B365" s="19">
        <v>45657</v>
      </c>
      <c r="C365" s="19">
        <v>45657</v>
      </c>
      <c r="D365" s="20">
        <v>0</v>
      </c>
      <c r="E365" s="20">
        <v>0</v>
      </c>
      <c r="F365" s="16" t="s">
        <v>7</v>
      </c>
      <c r="G365" s="21" t="s">
        <v>110</v>
      </c>
      <c r="H365" s="21" t="s">
        <v>110</v>
      </c>
      <c r="I365" s="20">
        <v>0</v>
      </c>
      <c r="J365" s="20">
        <v>0</v>
      </c>
      <c r="K365" s="20">
        <v>0</v>
      </c>
      <c r="L365" s="16" t="s">
        <v>110</v>
      </c>
    </row>
    <row r="366" spans="1:12">
      <c r="A366" s="12" t="s">
        <v>10</v>
      </c>
      <c r="B366" s="17">
        <v>45657</v>
      </c>
      <c r="C366" s="17">
        <v>45657</v>
      </c>
      <c r="D366" s="15">
        <v>0</v>
      </c>
      <c r="E366" s="15">
        <v>0</v>
      </c>
      <c r="F366" s="12" t="s">
        <v>13</v>
      </c>
      <c r="G366" s="18" t="s">
        <v>110</v>
      </c>
      <c r="H366" s="18" t="s">
        <v>110</v>
      </c>
      <c r="I366" s="15">
        <v>0</v>
      </c>
      <c r="J366" s="15">
        <v>0</v>
      </c>
      <c r="K366" s="15">
        <v>0</v>
      </c>
      <c r="L366" s="12" t="s">
        <v>110</v>
      </c>
    </row>
    <row r="367" spans="1:12">
      <c r="A367" s="16" t="s">
        <v>38</v>
      </c>
      <c r="B367" s="19">
        <v>45657</v>
      </c>
      <c r="C367" s="19" t="s">
        <v>110</v>
      </c>
      <c r="D367" s="20" t="e">
        <v>#N/A</v>
      </c>
      <c r="E367" s="20">
        <v>1</v>
      </c>
      <c r="F367" s="16" t="s">
        <v>5</v>
      </c>
      <c r="G367" s="21" t="s">
        <v>110</v>
      </c>
      <c r="H367" s="21" t="s">
        <v>110</v>
      </c>
      <c r="I367" s="20">
        <v>0</v>
      </c>
      <c r="J367" s="20">
        <v>0</v>
      </c>
      <c r="K367" s="20">
        <v>0</v>
      </c>
      <c r="L367" s="16" t="s">
        <v>110</v>
      </c>
    </row>
    <row r="368" spans="1:12">
      <c r="A368" s="12" t="s">
        <v>10</v>
      </c>
      <c r="B368" s="17">
        <v>45657</v>
      </c>
      <c r="C368" s="17">
        <v>45657</v>
      </c>
      <c r="D368" s="15">
        <v>0</v>
      </c>
      <c r="E368" s="15">
        <v>0</v>
      </c>
      <c r="F368" s="12" t="s">
        <v>13</v>
      </c>
      <c r="G368" s="18" t="s">
        <v>110</v>
      </c>
      <c r="H368" s="18" t="s">
        <v>110</v>
      </c>
      <c r="I368" s="15">
        <v>0</v>
      </c>
      <c r="J368" s="15">
        <v>0</v>
      </c>
      <c r="K368" s="15">
        <v>0</v>
      </c>
      <c r="L368" s="12" t="s">
        <v>110</v>
      </c>
    </row>
    <row r="369" spans="1:12">
      <c r="A369" s="16" t="s">
        <v>10</v>
      </c>
      <c r="B369" s="19">
        <v>45657</v>
      </c>
      <c r="C369" s="19">
        <v>45657</v>
      </c>
      <c r="D369" s="20">
        <v>0</v>
      </c>
      <c r="E369" s="20">
        <v>0</v>
      </c>
      <c r="F369" s="16" t="s">
        <v>7</v>
      </c>
      <c r="G369" s="21" t="s">
        <v>110</v>
      </c>
      <c r="H369" s="21" t="s">
        <v>110</v>
      </c>
      <c r="I369" s="20">
        <v>0</v>
      </c>
      <c r="J369" s="20">
        <v>0</v>
      </c>
      <c r="K369" s="20">
        <v>0</v>
      </c>
      <c r="L369" s="16" t="s">
        <v>110</v>
      </c>
    </row>
    <row r="370" spans="1:12">
      <c r="A370" s="12" t="s">
        <v>46</v>
      </c>
      <c r="B370" s="17">
        <v>45657</v>
      </c>
      <c r="C370" s="17">
        <v>45657</v>
      </c>
      <c r="D370" s="15">
        <v>0</v>
      </c>
      <c r="E370" s="15">
        <v>0</v>
      </c>
      <c r="F370" s="12" t="s">
        <v>5</v>
      </c>
      <c r="G370" s="18" t="s">
        <v>110</v>
      </c>
      <c r="H370" s="18" t="s">
        <v>110</v>
      </c>
      <c r="I370" s="15">
        <v>0</v>
      </c>
      <c r="J370" s="15">
        <v>0</v>
      </c>
      <c r="K370" s="15">
        <v>0</v>
      </c>
      <c r="L370" s="12" t="s">
        <v>110</v>
      </c>
    </row>
    <row r="371" spans="1:12">
      <c r="A371" s="16" t="s">
        <v>46</v>
      </c>
      <c r="B371" s="19">
        <v>45657</v>
      </c>
      <c r="C371" s="19">
        <v>45657</v>
      </c>
      <c r="D371" s="20">
        <v>0</v>
      </c>
      <c r="E371" s="20">
        <v>0</v>
      </c>
      <c r="F371" s="16" t="s">
        <v>9</v>
      </c>
      <c r="G371" s="21" t="s">
        <v>110</v>
      </c>
      <c r="H371" s="21" t="s">
        <v>110</v>
      </c>
      <c r="I371" s="20">
        <v>0</v>
      </c>
      <c r="J371" s="20">
        <v>0</v>
      </c>
      <c r="K371" s="20">
        <v>0</v>
      </c>
      <c r="L371" s="16" t="s">
        <v>110</v>
      </c>
    </row>
    <row r="372" spans="1:12">
      <c r="A372" s="12" t="s">
        <v>46</v>
      </c>
      <c r="B372" s="17">
        <v>45657</v>
      </c>
      <c r="C372" s="17">
        <v>45657</v>
      </c>
      <c r="D372" s="15">
        <v>0</v>
      </c>
      <c r="E372" s="15">
        <v>0</v>
      </c>
      <c r="F372" s="12" t="s">
        <v>9</v>
      </c>
      <c r="G372" s="18" t="s">
        <v>110</v>
      </c>
      <c r="H372" s="18" t="s">
        <v>110</v>
      </c>
      <c r="I372" s="15">
        <v>0</v>
      </c>
      <c r="J372" s="15">
        <v>0</v>
      </c>
      <c r="K372" s="15">
        <v>0</v>
      </c>
      <c r="L372" s="12" t="s">
        <v>110</v>
      </c>
    </row>
    <row r="373" spans="1:12">
      <c r="A373" s="16" t="s">
        <v>10</v>
      </c>
      <c r="B373" s="19">
        <v>45657</v>
      </c>
      <c r="C373" s="19">
        <v>45657</v>
      </c>
      <c r="D373" s="20">
        <v>0</v>
      </c>
      <c r="E373" s="20">
        <v>0</v>
      </c>
      <c r="F373" s="16" t="s">
        <v>9</v>
      </c>
      <c r="G373" s="21" t="s">
        <v>110</v>
      </c>
      <c r="H373" s="21" t="s">
        <v>110</v>
      </c>
      <c r="I373" s="20">
        <v>0</v>
      </c>
      <c r="J373" s="20">
        <v>0</v>
      </c>
      <c r="K373" s="20">
        <v>0</v>
      </c>
      <c r="L373" s="16" t="s">
        <v>110</v>
      </c>
    </row>
    <row r="374" spans="1:12">
      <c r="A374" s="12" t="s">
        <v>4</v>
      </c>
      <c r="B374" s="17">
        <v>45657</v>
      </c>
      <c r="C374" s="17">
        <v>45657</v>
      </c>
      <c r="D374" s="15">
        <v>0</v>
      </c>
      <c r="E374" s="15">
        <v>0</v>
      </c>
      <c r="F374" s="12" t="s">
        <v>17</v>
      </c>
      <c r="G374" s="18" t="s">
        <v>110</v>
      </c>
      <c r="H374" s="18" t="s">
        <v>110</v>
      </c>
      <c r="I374" s="15">
        <v>0</v>
      </c>
      <c r="J374" s="15">
        <v>0</v>
      </c>
      <c r="K374" s="15">
        <v>0</v>
      </c>
      <c r="L374" s="12" t="s">
        <v>110</v>
      </c>
    </row>
    <row r="375" spans="1:12">
      <c r="A375" s="16" t="s">
        <v>46</v>
      </c>
      <c r="B375" s="19">
        <v>45657</v>
      </c>
      <c r="C375" s="19">
        <v>45657</v>
      </c>
      <c r="D375" s="20">
        <v>0</v>
      </c>
      <c r="E375" s="20">
        <v>0</v>
      </c>
      <c r="F375" s="16" t="s">
        <v>5</v>
      </c>
      <c r="G375" s="21" t="s">
        <v>110</v>
      </c>
      <c r="H375" s="21" t="s">
        <v>110</v>
      </c>
      <c r="I375" s="20">
        <v>0</v>
      </c>
      <c r="J375" s="20">
        <v>0</v>
      </c>
      <c r="K375" s="20">
        <v>0</v>
      </c>
      <c r="L375" s="16" t="s">
        <v>110</v>
      </c>
    </row>
    <row r="376" spans="1:12">
      <c r="A376" s="12" t="s">
        <v>11</v>
      </c>
      <c r="B376" s="17">
        <v>45657</v>
      </c>
      <c r="C376" s="17">
        <v>45666</v>
      </c>
      <c r="D376" s="15">
        <v>9</v>
      </c>
      <c r="E376" s="15">
        <v>0</v>
      </c>
      <c r="F376" s="12" t="s">
        <v>17</v>
      </c>
      <c r="G376" s="18" t="s">
        <v>110</v>
      </c>
      <c r="H376" s="18" t="s">
        <v>110</v>
      </c>
      <c r="I376" s="15">
        <v>0</v>
      </c>
      <c r="J376" s="15">
        <v>0</v>
      </c>
      <c r="K376" s="15">
        <v>0</v>
      </c>
      <c r="L376" s="12" t="s">
        <v>110</v>
      </c>
    </row>
    <row r="377" spans="1:12">
      <c r="A377" s="16" t="s">
        <v>10</v>
      </c>
      <c r="B377" s="19">
        <v>45657</v>
      </c>
      <c r="C377" s="19">
        <v>45657</v>
      </c>
      <c r="D377" s="20">
        <v>0</v>
      </c>
      <c r="E377" s="20">
        <v>0</v>
      </c>
      <c r="F377" s="16" t="s">
        <v>7</v>
      </c>
      <c r="G377" s="21" t="s">
        <v>110</v>
      </c>
      <c r="H377" s="21" t="s">
        <v>110</v>
      </c>
      <c r="I377" s="20">
        <v>0</v>
      </c>
      <c r="J377" s="20">
        <v>0</v>
      </c>
      <c r="K377" s="20">
        <v>0</v>
      </c>
      <c r="L377" s="16" t="s">
        <v>110</v>
      </c>
    </row>
    <row r="378" spans="1:12">
      <c r="A378" s="12" t="s">
        <v>46</v>
      </c>
      <c r="B378" s="17">
        <v>45657</v>
      </c>
      <c r="C378" s="17">
        <v>45674</v>
      </c>
      <c r="D378" s="15">
        <v>17</v>
      </c>
      <c r="E378" s="15">
        <v>0</v>
      </c>
      <c r="F378" s="12" t="s">
        <v>17</v>
      </c>
      <c r="G378" s="18" t="s">
        <v>110</v>
      </c>
      <c r="H378" s="18" t="s">
        <v>110</v>
      </c>
      <c r="I378" s="15">
        <v>0</v>
      </c>
      <c r="J378" s="15">
        <v>0</v>
      </c>
      <c r="K378" s="15">
        <v>0</v>
      </c>
      <c r="L378" s="12" t="s">
        <v>110</v>
      </c>
    </row>
    <row r="379" spans="1:12">
      <c r="A379" s="16" t="s">
        <v>46</v>
      </c>
      <c r="B379" s="19">
        <v>45657</v>
      </c>
      <c r="C379" s="19">
        <v>45657</v>
      </c>
      <c r="D379" s="20">
        <v>0</v>
      </c>
      <c r="E379" s="20">
        <v>0</v>
      </c>
      <c r="F379" s="16" t="s">
        <v>9</v>
      </c>
      <c r="G379" s="21" t="s">
        <v>110</v>
      </c>
      <c r="H379" s="21" t="s">
        <v>110</v>
      </c>
      <c r="I379" s="20">
        <v>0</v>
      </c>
      <c r="J379" s="20">
        <v>0</v>
      </c>
      <c r="K379" s="20">
        <v>0</v>
      </c>
      <c r="L379" s="16" t="s">
        <v>110</v>
      </c>
    </row>
    <row r="380" spans="1:12">
      <c r="A380" s="12" t="s">
        <v>46</v>
      </c>
      <c r="B380" s="17">
        <v>45657</v>
      </c>
      <c r="C380" s="17">
        <v>45659</v>
      </c>
      <c r="D380" s="15">
        <v>2</v>
      </c>
      <c r="E380" s="15">
        <v>0</v>
      </c>
      <c r="F380" s="12" t="s">
        <v>17</v>
      </c>
      <c r="G380" s="18" t="s">
        <v>110</v>
      </c>
      <c r="H380" s="18" t="s">
        <v>110</v>
      </c>
      <c r="I380" s="15">
        <v>0</v>
      </c>
      <c r="J380" s="15">
        <v>0</v>
      </c>
      <c r="K380" s="15">
        <v>0</v>
      </c>
      <c r="L380" s="12" t="s">
        <v>110</v>
      </c>
    </row>
    <row r="381" spans="1:12">
      <c r="A381" s="16" t="s">
        <v>10</v>
      </c>
      <c r="B381" s="19">
        <v>45657</v>
      </c>
      <c r="C381" s="19">
        <v>45657</v>
      </c>
      <c r="D381" s="20">
        <v>0</v>
      </c>
      <c r="E381" s="20">
        <v>0</v>
      </c>
      <c r="F381" s="16" t="s">
        <v>96</v>
      </c>
      <c r="G381" s="21" t="s">
        <v>110</v>
      </c>
      <c r="H381" s="21" t="s">
        <v>110</v>
      </c>
      <c r="I381" s="20">
        <v>0</v>
      </c>
      <c r="J381" s="20">
        <v>0</v>
      </c>
      <c r="K381" s="20">
        <v>0</v>
      </c>
      <c r="L381" s="16" t="s">
        <v>110</v>
      </c>
    </row>
    <row r="382" spans="1:12">
      <c r="A382" s="12" t="s">
        <v>10</v>
      </c>
      <c r="B382" s="17">
        <v>45657</v>
      </c>
      <c r="C382" s="17">
        <v>45658</v>
      </c>
      <c r="D382" s="15">
        <v>1</v>
      </c>
      <c r="E382" s="15">
        <v>0</v>
      </c>
      <c r="F382" s="12" t="s">
        <v>5</v>
      </c>
      <c r="G382" s="18">
        <v>-104.99673135</v>
      </c>
      <c r="H382" s="18">
        <v>39.7475679</v>
      </c>
      <c r="I382" s="15">
        <v>1</v>
      </c>
      <c r="J382" s="15">
        <v>0</v>
      </c>
      <c r="K382" s="15">
        <v>0</v>
      </c>
      <c r="L382" s="12" t="s">
        <v>110</v>
      </c>
    </row>
    <row r="383" spans="1:12">
      <c r="A383" s="16" t="s">
        <v>10</v>
      </c>
      <c r="B383" s="19">
        <v>45657</v>
      </c>
      <c r="C383" s="19">
        <v>45657</v>
      </c>
      <c r="D383" s="20">
        <v>0</v>
      </c>
      <c r="E383" s="20">
        <v>0</v>
      </c>
      <c r="F383" s="16" t="s">
        <v>7</v>
      </c>
      <c r="G383" s="21" t="s">
        <v>110</v>
      </c>
      <c r="H383" s="21" t="s">
        <v>110</v>
      </c>
      <c r="I383" s="20">
        <v>0</v>
      </c>
      <c r="J383" s="20">
        <v>0</v>
      </c>
      <c r="K383" s="20">
        <v>0</v>
      </c>
      <c r="L383" s="16" t="s">
        <v>110</v>
      </c>
    </row>
    <row r="384" spans="1:12">
      <c r="A384" s="12" t="s">
        <v>11</v>
      </c>
      <c r="B384" s="17">
        <v>45657</v>
      </c>
      <c r="C384" s="17">
        <v>45657</v>
      </c>
      <c r="D384" s="15">
        <v>0</v>
      </c>
      <c r="E384" s="15">
        <v>0</v>
      </c>
      <c r="F384" s="12" t="s">
        <v>5</v>
      </c>
      <c r="G384" s="18" t="s">
        <v>110</v>
      </c>
      <c r="H384" s="18" t="s">
        <v>110</v>
      </c>
      <c r="I384" s="15">
        <v>0</v>
      </c>
      <c r="J384" s="15">
        <v>0</v>
      </c>
      <c r="K384" s="15">
        <v>0</v>
      </c>
      <c r="L384" s="12" t="s">
        <v>110</v>
      </c>
    </row>
    <row r="385" spans="1:12">
      <c r="A385" s="16" t="s">
        <v>46</v>
      </c>
      <c r="B385" s="19">
        <v>45657</v>
      </c>
      <c r="C385" s="19">
        <v>45657</v>
      </c>
      <c r="D385" s="20">
        <v>0</v>
      </c>
      <c r="E385" s="20">
        <v>0</v>
      </c>
      <c r="F385" s="16" t="s">
        <v>5</v>
      </c>
      <c r="G385" s="21" t="s">
        <v>110</v>
      </c>
      <c r="H385" s="21" t="s">
        <v>110</v>
      </c>
      <c r="I385" s="20">
        <v>0</v>
      </c>
      <c r="J385" s="20">
        <v>0</v>
      </c>
      <c r="K385" s="20">
        <v>0</v>
      </c>
      <c r="L385" s="16" t="s">
        <v>110</v>
      </c>
    </row>
    <row r="386" spans="1:12">
      <c r="A386" s="12" t="s">
        <v>46</v>
      </c>
      <c r="B386" s="17">
        <v>45657</v>
      </c>
      <c r="C386" s="17">
        <v>45657</v>
      </c>
      <c r="D386" s="15">
        <v>0</v>
      </c>
      <c r="E386" s="15">
        <v>0</v>
      </c>
      <c r="F386" s="12" t="s">
        <v>7</v>
      </c>
      <c r="G386" s="18" t="s">
        <v>110</v>
      </c>
      <c r="H386" s="18" t="s">
        <v>110</v>
      </c>
      <c r="I386" s="15">
        <v>0</v>
      </c>
      <c r="J386" s="15">
        <v>0</v>
      </c>
      <c r="K386" s="15">
        <v>0</v>
      </c>
      <c r="L386" s="12" t="s">
        <v>110</v>
      </c>
    </row>
    <row r="387" spans="1:12">
      <c r="A387" s="16" t="s">
        <v>46</v>
      </c>
      <c r="B387" s="19">
        <v>45657</v>
      </c>
      <c r="C387" s="19">
        <v>45665</v>
      </c>
      <c r="D387" s="20">
        <v>8</v>
      </c>
      <c r="E387" s="20">
        <v>0</v>
      </c>
      <c r="F387" s="16" t="s">
        <v>7</v>
      </c>
      <c r="G387" s="21" t="s">
        <v>110</v>
      </c>
      <c r="H387" s="21" t="s">
        <v>110</v>
      </c>
      <c r="I387" s="20">
        <v>0</v>
      </c>
      <c r="J387" s="20">
        <v>0</v>
      </c>
      <c r="K387" s="20">
        <v>0</v>
      </c>
      <c r="L387" s="16" t="s">
        <v>110</v>
      </c>
    </row>
    <row r="388" spans="1:12">
      <c r="A388" s="12" t="s">
        <v>4</v>
      </c>
      <c r="B388" s="17">
        <v>45657</v>
      </c>
      <c r="C388" s="17">
        <v>45657</v>
      </c>
      <c r="D388" s="15">
        <v>0</v>
      </c>
      <c r="E388" s="15">
        <v>0</v>
      </c>
      <c r="F388" s="12" t="s">
        <v>5</v>
      </c>
      <c r="G388" s="18" t="s">
        <v>110</v>
      </c>
      <c r="H388" s="18" t="s">
        <v>110</v>
      </c>
      <c r="I388" s="15">
        <v>0</v>
      </c>
      <c r="J388" s="15">
        <v>0</v>
      </c>
      <c r="K388" s="15">
        <v>0</v>
      </c>
      <c r="L388" s="12" t="s">
        <v>110</v>
      </c>
    </row>
    <row r="389" spans="1:12">
      <c r="A389" s="16" t="s">
        <v>46</v>
      </c>
      <c r="B389" s="19">
        <v>45657</v>
      </c>
      <c r="C389" s="19">
        <v>45657</v>
      </c>
      <c r="D389" s="20">
        <v>0</v>
      </c>
      <c r="E389" s="20">
        <v>0</v>
      </c>
      <c r="F389" s="16" t="s">
        <v>13</v>
      </c>
      <c r="G389" s="21" t="s">
        <v>110</v>
      </c>
      <c r="H389" s="21" t="s">
        <v>110</v>
      </c>
      <c r="I389" s="20">
        <v>0</v>
      </c>
      <c r="J389" s="20">
        <v>0</v>
      </c>
      <c r="K389" s="20">
        <v>0</v>
      </c>
      <c r="L389" s="16" t="s">
        <v>110</v>
      </c>
    </row>
    <row r="390" spans="1:12">
      <c r="A390" s="12" t="s">
        <v>38</v>
      </c>
      <c r="B390" s="17">
        <v>45657</v>
      </c>
      <c r="C390" s="17" t="s">
        <v>110</v>
      </c>
      <c r="D390" s="15" t="e">
        <v>#N/A</v>
      </c>
      <c r="E390" s="15">
        <v>1</v>
      </c>
      <c r="F390" s="12" t="s">
        <v>23</v>
      </c>
      <c r="G390" s="18" t="s">
        <v>110</v>
      </c>
      <c r="H390" s="18" t="s">
        <v>110</v>
      </c>
      <c r="I390" s="15">
        <v>0</v>
      </c>
      <c r="J390" s="15">
        <v>0</v>
      </c>
      <c r="K390" s="15">
        <v>0</v>
      </c>
      <c r="L390" s="12" t="s">
        <v>110</v>
      </c>
    </row>
    <row r="391" spans="1:12">
      <c r="A391" s="16" t="s">
        <v>46</v>
      </c>
      <c r="B391" s="19">
        <v>45657</v>
      </c>
      <c r="C391" s="19">
        <v>45657</v>
      </c>
      <c r="D391" s="20">
        <v>0</v>
      </c>
      <c r="E391" s="20">
        <v>0</v>
      </c>
      <c r="F391" s="16" t="s">
        <v>13</v>
      </c>
      <c r="G391" s="21">
        <v>-105.028828</v>
      </c>
      <c r="H391" s="21">
        <v>39.675317999999997</v>
      </c>
      <c r="I391" s="20">
        <v>1</v>
      </c>
      <c r="J391" s="20">
        <v>0</v>
      </c>
      <c r="K391" s="20">
        <v>0</v>
      </c>
      <c r="L391" s="16" t="s">
        <v>207</v>
      </c>
    </row>
    <row r="392" spans="1:12">
      <c r="A392" s="12" t="s">
        <v>46</v>
      </c>
      <c r="B392" s="17">
        <v>45657</v>
      </c>
      <c r="C392" s="17">
        <v>45657</v>
      </c>
      <c r="D392" s="15">
        <v>0</v>
      </c>
      <c r="E392" s="15">
        <v>0</v>
      </c>
      <c r="F392" s="12" t="s">
        <v>7</v>
      </c>
      <c r="G392" s="18" t="s">
        <v>110</v>
      </c>
      <c r="H392" s="18" t="s">
        <v>110</v>
      </c>
      <c r="I392" s="15">
        <v>0</v>
      </c>
      <c r="J392" s="15">
        <v>0</v>
      </c>
      <c r="K392" s="15">
        <v>0</v>
      </c>
      <c r="L392" s="12" t="s">
        <v>110</v>
      </c>
    </row>
    <row r="393" spans="1:12">
      <c r="A393" s="16" t="s">
        <v>11</v>
      </c>
      <c r="B393" s="19">
        <v>45657</v>
      </c>
      <c r="C393" s="19">
        <v>45657</v>
      </c>
      <c r="D393" s="20">
        <v>0</v>
      </c>
      <c r="E393" s="20">
        <v>0</v>
      </c>
      <c r="F393" s="16" t="s">
        <v>17</v>
      </c>
      <c r="G393" s="21">
        <v>-104.97662935</v>
      </c>
      <c r="H393" s="21">
        <v>39.7174014</v>
      </c>
      <c r="I393" s="20">
        <v>1</v>
      </c>
      <c r="J393" s="20">
        <v>0</v>
      </c>
      <c r="K393" s="20">
        <v>0</v>
      </c>
      <c r="L393" s="16" t="s">
        <v>197</v>
      </c>
    </row>
    <row r="394" spans="1:12">
      <c r="A394" s="12" t="s">
        <v>46</v>
      </c>
      <c r="B394" s="17">
        <v>45657</v>
      </c>
      <c r="C394" s="17">
        <v>45657</v>
      </c>
      <c r="D394" s="15">
        <v>0</v>
      </c>
      <c r="E394" s="15">
        <v>0</v>
      </c>
      <c r="F394" s="12" t="s">
        <v>13</v>
      </c>
      <c r="G394" s="18" t="s">
        <v>110</v>
      </c>
      <c r="H394" s="18" t="s">
        <v>110</v>
      </c>
      <c r="I394" s="15">
        <v>0</v>
      </c>
      <c r="J394" s="15">
        <v>0</v>
      </c>
      <c r="K394" s="15">
        <v>0</v>
      </c>
      <c r="L394" s="12" t="s">
        <v>110</v>
      </c>
    </row>
    <row r="395" spans="1:12">
      <c r="A395" s="16" t="s">
        <v>10</v>
      </c>
      <c r="B395" s="19">
        <v>45657</v>
      </c>
      <c r="C395" s="19">
        <v>45657</v>
      </c>
      <c r="D395" s="20">
        <v>0</v>
      </c>
      <c r="E395" s="20">
        <v>0</v>
      </c>
      <c r="F395" s="16" t="s">
        <v>13</v>
      </c>
      <c r="G395" s="21" t="s">
        <v>110</v>
      </c>
      <c r="H395" s="21" t="s">
        <v>110</v>
      </c>
      <c r="I395" s="20">
        <v>0</v>
      </c>
      <c r="J395" s="20">
        <v>0</v>
      </c>
      <c r="K395" s="20">
        <v>0</v>
      </c>
      <c r="L395" s="16" t="s">
        <v>110</v>
      </c>
    </row>
    <row r="396" spans="1:12">
      <c r="A396" s="12" t="s">
        <v>46</v>
      </c>
      <c r="B396" s="17">
        <v>45657</v>
      </c>
      <c r="C396" s="17">
        <v>45674</v>
      </c>
      <c r="D396" s="15">
        <v>17</v>
      </c>
      <c r="E396" s="15">
        <v>0</v>
      </c>
      <c r="F396" s="12" t="s">
        <v>17</v>
      </c>
      <c r="G396" s="18" t="s">
        <v>110</v>
      </c>
      <c r="H396" s="18" t="s">
        <v>110</v>
      </c>
      <c r="I396" s="15">
        <v>0</v>
      </c>
      <c r="J396" s="15">
        <v>0</v>
      </c>
      <c r="K396" s="15">
        <v>0</v>
      </c>
      <c r="L396" s="12" t="s">
        <v>110</v>
      </c>
    </row>
    <row r="397" spans="1:12">
      <c r="A397" s="16" t="s">
        <v>10</v>
      </c>
      <c r="B397" s="19">
        <v>45657</v>
      </c>
      <c r="C397" s="19">
        <v>45657</v>
      </c>
      <c r="D397" s="20">
        <v>0</v>
      </c>
      <c r="E397" s="20">
        <v>0</v>
      </c>
      <c r="F397" s="16" t="s">
        <v>5</v>
      </c>
      <c r="G397" s="21" t="s">
        <v>110</v>
      </c>
      <c r="H397" s="21" t="s">
        <v>110</v>
      </c>
      <c r="I397" s="20">
        <v>0</v>
      </c>
      <c r="J397" s="20">
        <v>0</v>
      </c>
      <c r="K397" s="20">
        <v>0</v>
      </c>
      <c r="L397" s="16" t="s">
        <v>110</v>
      </c>
    </row>
    <row r="398" spans="1:12">
      <c r="A398" s="12" t="s">
        <v>4</v>
      </c>
      <c r="B398" s="17">
        <v>45657</v>
      </c>
      <c r="C398" s="17">
        <v>45657</v>
      </c>
      <c r="D398" s="15">
        <v>0</v>
      </c>
      <c r="E398" s="15">
        <v>0</v>
      </c>
      <c r="F398" s="12" t="s">
        <v>5</v>
      </c>
      <c r="G398" s="18" t="s">
        <v>110</v>
      </c>
      <c r="H398" s="18" t="s">
        <v>110</v>
      </c>
      <c r="I398" s="15">
        <v>0</v>
      </c>
      <c r="J398" s="15">
        <v>0</v>
      </c>
      <c r="K398" s="15">
        <v>0</v>
      </c>
      <c r="L398" s="12" t="s">
        <v>110</v>
      </c>
    </row>
    <row r="399" spans="1:12">
      <c r="A399" s="16" t="s">
        <v>46</v>
      </c>
      <c r="B399" s="19">
        <v>45657</v>
      </c>
      <c r="C399" s="19">
        <v>45657</v>
      </c>
      <c r="D399" s="20">
        <v>0</v>
      </c>
      <c r="E399" s="20">
        <v>0</v>
      </c>
      <c r="F399" s="16" t="s">
        <v>13</v>
      </c>
      <c r="G399" s="21" t="s">
        <v>110</v>
      </c>
      <c r="H399" s="21" t="s">
        <v>110</v>
      </c>
      <c r="I399" s="20">
        <v>0</v>
      </c>
      <c r="J399" s="20">
        <v>0</v>
      </c>
      <c r="K399" s="20">
        <v>0</v>
      </c>
      <c r="L399" s="16" t="s">
        <v>110</v>
      </c>
    </row>
    <row r="400" spans="1:12">
      <c r="A400" s="12" t="s">
        <v>46</v>
      </c>
      <c r="B400" s="17">
        <v>45657</v>
      </c>
      <c r="C400" s="17">
        <v>45657</v>
      </c>
      <c r="D400" s="15">
        <v>0</v>
      </c>
      <c r="E400" s="15">
        <v>0</v>
      </c>
      <c r="F400" s="12" t="s">
        <v>9</v>
      </c>
      <c r="G400" s="18" t="s">
        <v>110</v>
      </c>
      <c r="H400" s="18" t="s">
        <v>110</v>
      </c>
      <c r="I400" s="15">
        <v>0</v>
      </c>
      <c r="J400" s="15">
        <v>0</v>
      </c>
      <c r="K400" s="15">
        <v>0</v>
      </c>
      <c r="L400" s="12" t="s">
        <v>110</v>
      </c>
    </row>
    <row r="401" spans="1:12">
      <c r="A401" s="16" t="s">
        <v>10</v>
      </c>
      <c r="B401" s="19">
        <v>45657</v>
      </c>
      <c r="C401" s="19">
        <v>45657</v>
      </c>
      <c r="D401" s="20">
        <v>0</v>
      </c>
      <c r="E401" s="20">
        <v>0</v>
      </c>
      <c r="F401" s="16" t="s">
        <v>7</v>
      </c>
      <c r="G401" s="21" t="s">
        <v>110</v>
      </c>
      <c r="H401" s="21" t="s">
        <v>110</v>
      </c>
      <c r="I401" s="20">
        <v>0</v>
      </c>
      <c r="J401" s="20">
        <v>0</v>
      </c>
      <c r="K401" s="20">
        <v>0</v>
      </c>
      <c r="L401" s="16" t="s">
        <v>110</v>
      </c>
    </row>
    <row r="402" spans="1:12">
      <c r="A402" s="12" t="s">
        <v>10</v>
      </c>
      <c r="B402" s="17">
        <v>45657</v>
      </c>
      <c r="C402" s="17">
        <v>45658</v>
      </c>
      <c r="D402" s="15">
        <v>1</v>
      </c>
      <c r="E402" s="15">
        <v>0</v>
      </c>
      <c r="F402" s="12" t="s">
        <v>5</v>
      </c>
      <c r="G402" s="18">
        <v>-105.03351582000001</v>
      </c>
      <c r="H402" s="18">
        <v>39.721117990000003</v>
      </c>
      <c r="I402" s="15">
        <v>1</v>
      </c>
      <c r="J402" s="15">
        <v>0</v>
      </c>
      <c r="K402" s="15">
        <v>0</v>
      </c>
      <c r="L402" s="12" t="s">
        <v>199</v>
      </c>
    </row>
    <row r="403" spans="1:12">
      <c r="A403" s="16" t="s">
        <v>10</v>
      </c>
      <c r="B403" s="19">
        <v>45657</v>
      </c>
      <c r="C403" s="19">
        <v>45657</v>
      </c>
      <c r="D403" s="20">
        <v>0</v>
      </c>
      <c r="E403" s="20">
        <v>0</v>
      </c>
      <c r="F403" s="16" t="s">
        <v>26</v>
      </c>
      <c r="G403" s="21" t="s">
        <v>110</v>
      </c>
      <c r="H403" s="21" t="s">
        <v>110</v>
      </c>
      <c r="I403" s="20">
        <v>0</v>
      </c>
      <c r="J403" s="20">
        <v>0</v>
      </c>
      <c r="K403" s="20">
        <v>0</v>
      </c>
      <c r="L403" s="16" t="s">
        <v>110</v>
      </c>
    </row>
    <row r="404" spans="1:12">
      <c r="A404" s="12" t="s">
        <v>10</v>
      </c>
      <c r="B404" s="17">
        <v>45657</v>
      </c>
      <c r="C404" s="17">
        <v>45657</v>
      </c>
      <c r="D404" s="15">
        <v>0</v>
      </c>
      <c r="E404" s="15">
        <v>0</v>
      </c>
      <c r="F404" s="12" t="s">
        <v>96</v>
      </c>
      <c r="G404" s="18">
        <v>-104.96747279</v>
      </c>
      <c r="H404" s="18">
        <v>39.738028849999999</v>
      </c>
      <c r="I404" s="15">
        <v>1</v>
      </c>
      <c r="J404" s="15">
        <v>0</v>
      </c>
      <c r="K404" s="15">
        <v>0</v>
      </c>
      <c r="L404" s="12" t="s">
        <v>110</v>
      </c>
    </row>
    <row r="405" spans="1:12">
      <c r="A405" s="16" t="s">
        <v>10</v>
      </c>
      <c r="B405" s="19">
        <v>45657</v>
      </c>
      <c r="C405" s="19">
        <v>45657</v>
      </c>
      <c r="D405" s="20">
        <v>0</v>
      </c>
      <c r="E405" s="20">
        <v>0</v>
      </c>
      <c r="F405" s="16" t="s">
        <v>22</v>
      </c>
      <c r="G405" s="21" t="s">
        <v>110</v>
      </c>
      <c r="H405" s="21" t="s">
        <v>110</v>
      </c>
      <c r="I405" s="20">
        <v>0</v>
      </c>
      <c r="J405" s="20">
        <v>0</v>
      </c>
      <c r="K405" s="20">
        <v>0</v>
      </c>
      <c r="L405" s="16" t="s">
        <v>110</v>
      </c>
    </row>
    <row r="406" spans="1:12">
      <c r="A406" s="12" t="s">
        <v>4</v>
      </c>
      <c r="B406" s="17">
        <v>45657</v>
      </c>
      <c r="C406" s="17">
        <v>45657</v>
      </c>
      <c r="D406" s="15">
        <v>0</v>
      </c>
      <c r="E406" s="15">
        <v>0</v>
      </c>
      <c r="F406" s="12" t="s">
        <v>5</v>
      </c>
      <c r="G406" s="18" t="s">
        <v>110</v>
      </c>
      <c r="H406" s="18" t="s">
        <v>110</v>
      </c>
      <c r="I406" s="15">
        <v>0</v>
      </c>
      <c r="J406" s="15">
        <v>0</v>
      </c>
      <c r="K406" s="15">
        <v>0</v>
      </c>
      <c r="L406" s="12" t="s">
        <v>110</v>
      </c>
    </row>
    <row r="407" spans="1:12">
      <c r="A407" s="16" t="s">
        <v>46</v>
      </c>
      <c r="B407" s="19">
        <v>45657</v>
      </c>
      <c r="C407" s="19">
        <v>45663</v>
      </c>
      <c r="D407" s="20">
        <v>6</v>
      </c>
      <c r="E407" s="20">
        <v>0</v>
      </c>
      <c r="F407" s="16" t="s">
        <v>17</v>
      </c>
      <c r="G407" s="21" t="s">
        <v>110</v>
      </c>
      <c r="H407" s="21" t="s">
        <v>110</v>
      </c>
      <c r="I407" s="20">
        <v>0</v>
      </c>
      <c r="J407" s="20">
        <v>0</v>
      </c>
      <c r="K407" s="20">
        <v>0</v>
      </c>
      <c r="L407" s="16" t="s">
        <v>110</v>
      </c>
    </row>
    <row r="408" spans="1:12">
      <c r="A408" s="12" t="s">
        <v>10</v>
      </c>
      <c r="B408" s="17">
        <v>45657</v>
      </c>
      <c r="C408" s="17">
        <v>45657</v>
      </c>
      <c r="D408" s="15">
        <v>0</v>
      </c>
      <c r="E408" s="15">
        <v>0</v>
      </c>
      <c r="F408" s="12" t="s">
        <v>19</v>
      </c>
      <c r="G408" s="18" t="s">
        <v>110</v>
      </c>
      <c r="H408" s="18" t="s">
        <v>110</v>
      </c>
      <c r="I408" s="15">
        <v>0</v>
      </c>
      <c r="J408" s="15">
        <v>0</v>
      </c>
      <c r="K408" s="15">
        <v>0</v>
      </c>
      <c r="L408" s="12" t="s">
        <v>110</v>
      </c>
    </row>
    <row r="409" spans="1:12">
      <c r="A409" s="16" t="s">
        <v>46</v>
      </c>
      <c r="B409" s="19">
        <v>45657</v>
      </c>
      <c r="C409" s="19">
        <v>45657</v>
      </c>
      <c r="D409" s="20">
        <v>0</v>
      </c>
      <c r="E409" s="20">
        <v>0</v>
      </c>
      <c r="F409" s="16" t="s">
        <v>26</v>
      </c>
      <c r="G409" s="21" t="s">
        <v>110</v>
      </c>
      <c r="H409" s="21" t="s">
        <v>110</v>
      </c>
      <c r="I409" s="20">
        <v>0</v>
      </c>
      <c r="J409" s="20">
        <v>0</v>
      </c>
      <c r="K409" s="20">
        <v>0</v>
      </c>
      <c r="L409" s="16" t="s">
        <v>110</v>
      </c>
    </row>
    <row r="410" spans="1:12">
      <c r="A410" s="12" t="s">
        <v>27</v>
      </c>
      <c r="B410" s="17">
        <v>45657</v>
      </c>
      <c r="C410" s="17">
        <v>45657</v>
      </c>
      <c r="D410" s="15">
        <v>0</v>
      </c>
      <c r="E410" s="15">
        <v>0</v>
      </c>
      <c r="F410" s="12" t="s">
        <v>96</v>
      </c>
      <c r="G410" s="18">
        <v>-104.930363</v>
      </c>
      <c r="H410" s="18">
        <v>39.700220999999999</v>
      </c>
      <c r="I410" s="15">
        <v>1</v>
      </c>
      <c r="J410" s="15">
        <v>0</v>
      </c>
      <c r="K410" s="15">
        <v>0</v>
      </c>
      <c r="L410" s="12" t="s">
        <v>110</v>
      </c>
    </row>
    <row r="411" spans="1:12">
      <c r="A411" s="16" t="s">
        <v>11</v>
      </c>
      <c r="B411" s="19">
        <v>45657</v>
      </c>
      <c r="C411" s="19">
        <v>45657</v>
      </c>
      <c r="D411" s="20">
        <v>0</v>
      </c>
      <c r="E411" s="20">
        <v>0</v>
      </c>
      <c r="F411" s="16" t="s">
        <v>96</v>
      </c>
      <c r="G411" s="21" t="s">
        <v>110</v>
      </c>
      <c r="H411" s="21" t="s">
        <v>110</v>
      </c>
      <c r="I411" s="20">
        <v>0</v>
      </c>
      <c r="J411" s="20">
        <v>0</v>
      </c>
      <c r="K411" s="20">
        <v>0</v>
      </c>
      <c r="L411" s="16" t="s">
        <v>110</v>
      </c>
    </row>
    <row r="412" spans="1:12">
      <c r="A412" s="12" t="s">
        <v>27</v>
      </c>
      <c r="B412" s="17">
        <v>45657</v>
      </c>
      <c r="C412" s="17">
        <v>45657</v>
      </c>
      <c r="D412" s="15">
        <v>0</v>
      </c>
      <c r="E412" s="15">
        <v>0</v>
      </c>
      <c r="F412" s="12" t="s">
        <v>96</v>
      </c>
      <c r="G412" s="18" t="s">
        <v>110</v>
      </c>
      <c r="H412" s="18" t="s">
        <v>110</v>
      </c>
      <c r="I412" s="15">
        <v>0</v>
      </c>
      <c r="J412" s="15">
        <v>0</v>
      </c>
      <c r="K412" s="15">
        <v>0</v>
      </c>
      <c r="L412" s="12" t="s">
        <v>110</v>
      </c>
    </row>
    <row r="413" spans="1:12">
      <c r="A413" s="16" t="s">
        <v>111</v>
      </c>
      <c r="B413" s="19">
        <v>45657</v>
      </c>
      <c r="C413" s="19">
        <v>45665</v>
      </c>
      <c r="D413" s="20">
        <v>8</v>
      </c>
      <c r="E413" s="20">
        <v>0</v>
      </c>
      <c r="F413" s="16" t="s">
        <v>13</v>
      </c>
      <c r="G413" s="21">
        <v>-105.0331427</v>
      </c>
      <c r="H413" s="21">
        <v>39.68926682</v>
      </c>
      <c r="I413" s="20">
        <v>1</v>
      </c>
      <c r="J413" s="20">
        <v>0</v>
      </c>
      <c r="K413" s="20">
        <v>0</v>
      </c>
      <c r="L413" s="16" t="s">
        <v>207</v>
      </c>
    </row>
    <row r="414" spans="1:12">
      <c r="A414" s="12" t="s">
        <v>46</v>
      </c>
      <c r="B414" s="17">
        <v>45657</v>
      </c>
      <c r="C414" s="17">
        <v>45658</v>
      </c>
      <c r="D414" s="15">
        <v>1</v>
      </c>
      <c r="E414" s="15">
        <v>0</v>
      </c>
      <c r="F414" s="12" t="s">
        <v>17</v>
      </c>
      <c r="G414" s="18" t="s">
        <v>110</v>
      </c>
      <c r="H414" s="18" t="s">
        <v>110</v>
      </c>
      <c r="I414" s="15">
        <v>0</v>
      </c>
      <c r="J414" s="15">
        <v>0</v>
      </c>
      <c r="K414" s="15">
        <v>0</v>
      </c>
      <c r="L414" s="12" t="s">
        <v>110</v>
      </c>
    </row>
    <row r="415" spans="1:12">
      <c r="A415" s="16" t="s">
        <v>46</v>
      </c>
      <c r="B415" s="19">
        <v>45657</v>
      </c>
      <c r="C415" s="19">
        <v>45657</v>
      </c>
      <c r="D415" s="20">
        <v>0</v>
      </c>
      <c r="E415" s="20">
        <v>0</v>
      </c>
      <c r="F415" s="16" t="s">
        <v>9</v>
      </c>
      <c r="G415" s="21" t="s">
        <v>110</v>
      </c>
      <c r="H415" s="21" t="s">
        <v>110</v>
      </c>
      <c r="I415" s="20">
        <v>0</v>
      </c>
      <c r="J415" s="20">
        <v>0</v>
      </c>
      <c r="K415" s="20">
        <v>0</v>
      </c>
      <c r="L415" s="16" t="s">
        <v>110</v>
      </c>
    </row>
    <row r="416" spans="1:12">
      <c r="A416" s="12" t="s">
        <v>46</v>
      </c>
      <c r="B416" s="17">
        <v>45657</v>
      </c>
      <c r="C416" s="17">
        <v>45660</v>
      </c>
      <c r="D416" s="15">
        <v>3</v>
      </c>
      <c r="E416" s="15">
        <v>0</v>
      </c>
      <c r="F416" s="12" t="s">
        <v>7</v>
      </c>
      <c r="G416" s="18" t="s">
        <v>110</v>
      </c>
      <c r="H416" s="18" t="s">
        <v>110</v>
      </c>
      <c r="I416" s="15">
        <v>0</v>
      </c>
      <c r="J416" s="15">
        <v>0</v>
      </c>
      <c r="K416" s="15">
        <v>0</v>
      </c>
      <c r="L416" s="12" t="s">
        <v>110</v>
      </c>
    </row>
    <row r="417" spans="1:12">
      <c r="A417" s="16" t="s">
        <v>38</v>
      </c>
      <c r="B417" s="19">
        <v>45657</v>
      </c>
      <c r="C417" s="19" t="s">
        <v>110</v>
      </c>
      <c r="D417" s="20" t="e">
        <v>#N/A</v>
      </c>
      <c r="E417" s="20">
        <v>1</v>
      </c>
      <c r="F417" s="16" t="s">
        <v>15</v>
      </c>
      <c r="G417" s="21" t="s">
        <v>110</v>
      </c>
      <c r="H417" s="21" t="s">
        <v>110</v>
      </c>
      <c r="I417" s="20">
        <v>0</v>
      </c>
      <c r="J417" s="20">
        <v>0</v>
      </c>
      <c r="K417" s="20">
        <v>0</v>
      </c>
      <c r="L417" s="16" t="s">
        <v>110</v>
      </c>
    </row>
    <row r="418" spans="1:12">
      <c r="A418" s="12" t="s">
        <v>11</v>
      </c>
      <c r="B418" s="17">
        <v>45657</v>
      </c>
      <c r="C418" s="17">
        <v>45660</v>
      </c>
      <c r="D418" s="15">
        <v>3</v>
      </c>
      <c r="E418" s="15">
        <v>0</v>
      </c>
      <c r="F418" s="12" t="s">
        <v>96</v>
      </c>
      <c r="G418" s="18" t="s">
        <v>110</v>
      </c>
      <c r="H418" s="18" t="s">
        <v>110</v>
      </c>
      <c r="I418" s="15">
        <v>0</v>
      </c>
      <c r="J418" s="15">
        <v>0</v>
      </c>
      <c r="K418" s="15">
        <v>0</v>
      </c>
      <c r="L418" s="12" t="s">
        <v>110</v>
      </c>
    </row>
    <row r="419" spans="1:12">
      <c r="A419" s="16" t="s">
        <v>4</v>
      </c>
      <c r="B419" s="19">
        <v>45657</v>
      </c>
      <c r="C419" s="19">
        <v>45657</v>
      </c>
      <c r="D419" s="20">
        <v>0</v>
      </c>
      <c r="E419" s="20">
        <v>0</v>
      </c>
      <c r="F419" s="16" t="s">
        <v>22</v>
      </c>
      <c r="G419" s="21" t="s">
        <v>110</v>
      </c>
      <c r="H419" s="21" t="s">
        <v>110</v>
      </c>
      <c r="I419" s="20">
        <v>0</v>
      </c>
      <c r="J419" s="20">
        <v>0</v>
      </c>
      <c r="K419" s="20">
        <v>0</v>
      </c>
      <c r="L419" s="16" t="s">
        <v>110</v>
      </c>
    </row>
    <row r="420" spans="1:12">
      <c r="A420" s="12" t="s">
        <v>47</v>
      </c>
      <c r="B420" s="17">
        <v>45657</v>
      </c>
      <c r="C420" s="17">
        <v>45657</v>
      </c>
      <c r="D420" s="15">
        <v>0</v>
      </c>
      <c r="E420" s="15">
        <v>0</v>
      </c>
      <c r="F420" s="12" t="s">
        <v>9</v>
      </c>
      <c r="G420" s="18">
        <v>-105.0297436</v>
      </c>
      <c r="H420" s="18">
        <v>39.770119989999998</v>
      </c>
      <c r="I420" s="15">
        <v>1</v>
      </c>
      <c r="J420" s="15">
        <v>0</v>
      </c>
      <c r="K420" s="15">
        <v>0</v>
      </c>
      <c r="L420" s="12" t="s">
        <v>202</v>
      </c>
    </row>
    <row r="421" spans="1:12">
      <c r="A421" s="16" t="s">
        <v>38</v>
      </c>
      <c r="B421" s="19">
        <v>45657</v>
      </c>
      <c r="C421" s="19" t="s">
        <v>110</v>
      </c>
      <c r="D421" s="20" t="e">
        <v>#N/A</v>
      </c>
      <c r="E421" s="20">
        <v>1</v>
      </c>
      <c r="F421" s="16" t="s">
        <v>15</v>
      </c>
      <c r="G421" s="21" t="s">
        <v>110</v>
      </c>
      <c r="H421" s="21" t="s">
        <v>110</v>
      </c>
      <c r="I421" s="20">
        <v>0</v>
      </c>
      <c r="J421" s="20">
        <v>0</v>
      </c>
      <c r="K421" s="20">
        <v>0</v>
      </c>
      <c r="L421" s="16" t="s">
        <v>110</v>
      </c>
    </row>
    <row r="422" spans="1:12">
      <c r="A422" s="12" t="s">
        <v>46</v>
      </c>
      <c r="B422" s="17">
        <v>45657</v>
      </c>
      <c r="C422" s="17">
        <v>45657</v>
      </c>
      <c r="D422" s="15">
        <v>0</v>
      </c>
      <c r="E422" s="15">
        <v>0</v>
      </c>
      <c r="F422" s="12" t="s">
        <v>26</v>
      </c>
      <c r="G422" s="18" t="s">
        <v>110</v>
      </c>
      <c r="H422" s="18" t="s">
        <v>110</v>
      </c>
      <c r="I422" s="15">
        <v>0</v>
      </c>
      <c r="J422" s="15">
        <v>0</v>
      </c>
      <c r="K422" s="15">
        <v>0</v>
      </c>
      <c r="L422" s="12" t="s">
        <v>110</v>
      </c>
    </row>
    <row r="423" spans="1:12">
      <c r="A423" s="16" t="s">
        <v>46</v>
      </c>
      <c r="B423" s="19">
        <v>45657</v>
      </c>
      <c r="C423" s="19">
        <v>45657</v>
      </c>
      <c r="D423" s="20">
        <v>0</v>
      </c>
      <c r="E423" s="20">
        <v>0</v>
      </c>
      <c r="F423" s="16" t="s">
        <v>5</v>
      </c>
      <c r="G423" s="21" t="s">
        <v>110</v>
      </c>
      <c r="H423" s="21" t="s">
        <v>110</v>
      </c>
      <c r="I423" s="20">
        <v>0</v>
      </c>
      <c r="J423" s="20">
        <v>0</v>
      </c>
      <c r="K423" s="20">
        <v>0</v>
      </c>
      <c r="L423" s="16" t="s">
        <v>110</v>
      </c>
    </row>
    <row r="424" spans="1:12">
      <c r="A424" s="12" t="s">
        <v>46</v>
      </c>
      <c r="B424" s="17">
        <v>45657</v>
      </c>
      <c r="C424" s="17">
        <v>45657</v>
      </c>
      <c r="D424" s="15">
        <v>0</v>
      </c>
      <c r="E424" s="15">
        <v>0</v>
      </c>
      <c r="F424" s="12" t="s">
        <v>9</v>
      </c>
      <c r="G424" s="18" t="s">
        <v>110</v>
      </c>
      <c r="H424" s="18" t="s">
        <v>110</v>
      </c>
      <c r="I424" s="15">
        <v>0</v>
      </c>
      <c r="J424" s="15">
        <v>0</v>
      </c>
      <c r="K424" s="15">
        <v>0</v>
      </c>
      <c r="L424" s="12" t="s">
        <v>110</v>
      </c>
    </row>
    <row r="425" spans="1:12">
      <c r="A425" s="16" t="s">
        <v>38</v>
      </c>
      <c r="B425" s="19">
        <v>45657</v>
      </c>
      <c r="C425" s="19" t="s">
        <v>110</v>
      </c>
      <c r="D425" s="20" t="e">
        <v>#N/A</v>
      </c>
      <c r="E425" s="20">
        <v>1</v>
      </c>
      <c r="F425" s="16" t="s">
        <v>23</v>
      </c>
      <c r="G425" s="21" t="s">
        <v>110</v>
      </c>
      <c r="H425" s="21" t="s">
        <v>110</v>
      </c>
      <c r="I425" s="20">
        <v>0</v>
      </c>
      <c r="J425" s="20">
        <v>0</v>
      </c>
      <c r="K425" s="20">
        <v>0</v>
      </c>
      <c r="L425" s="16" t="s">
        <v>110</v>
      </c>
    </row>
    <row r="426" spans="1:12">
      <c r="A426" s="12" t="s">
        <v>46</v>
      </c>
      <c r="B426" s="17">
        <v>45657</v>
      </c>
      <c r="C426" s="17">
        <v>45657</v>
      </c>
      <c r="D426" s="15">
        <v>0</v>
      </c>
      <c r="E426" s="15">
        <v>0</v>
      </c>
      <c r="F426" s="12" t="s">
        <v>9</v>
      </c>
      <c r="G426" s="18" t="s">
        <v>110</v>
      </c>
      <c r="H426" s="18" t="s">
        <v>110</v>
      </c>
      <c r="I426" s="15">
        <v>0</v>
      </c>
      <c r="J426" s="15">
        <v>0</v>
      </c>
      <c r="K426" s="15">
        <v>0</v>
      </c>
      <c r="L426" s="12" t="s">
        <v>110</v>
      </c>
    </row>
    <row r="427" spans="1:12">
      <c r="A427" s="16" t="s">
        <v>10</v>
      </c>
      <c r="B427" s="19">
        <v>45657</v>
      </c>
      <c r="C427" s="19">
        <v>45657</v>
      </c>
      <c r="D427" s="20">
        <v>0</v>
      </c>
      <c r="E427" s="20">
        <v>0</v>
      </c>
      <c r="F427" s="16" t="s">
        <v>7</v>
      </c>
      <c r="G427" s="21" t="s">
        <v>110</v>
      </c>
      <c r="H427" s="21" t="s">
        <v>110</v>
      </c>
      <c r="I427" s="20">
        <v>0</v>
      </c>
      <c r="J427" s="20">
        <v>0</v>
      </c>
      <c r="K427" s="20">
        <v>0</v>
      </c>
      <c r="L427" s="16" t="s">
        <v>110</v>
      </c>
    </row>
    <row r="428" spans="1:12">
      <c r="A428" s="12" t="s">
        <v>4</v>
      </c>
      <c r="B428" s="17">
        <v>45657</v>
      </c>
      <c r="C428" s="17">
        <v>45657</v>
      </c>
      <c r="D428" s="15">
        <v>0</v>
      </c>
      <c r="E428" s="15">
        <v>0</v>
      </c>
      <c r="F428" s="12" t="s">
        <v>5</v>
      </c>
      <c r="G428" s="18" t="s">
        <v>110</v>
      </c>
      <c r="H428" s="18" t="s">
        <v>110</v>
      </c>
      <c r="I428" s="15">
        <v>0</v>
      </c>
      <c r="J428" s="15">
        <v>0</v>
      </c>
      <c r="K428" s="15">
        <v>0</v>
      </c>
      <c r="L428" s="12" t="s">
        <v>110</v>
      </c>
    </row>
    <row r="429" spans="1:12">
      <c r="A429" s="16" t="s">
        <v>46</v>
      </c>
      <c r="B429" s="19">
        <v>45657</v>
      </c>
      <c r="C429" s="19">
        <v>45657</v>
      </c>
      <c r="D429" s="20">
        <v>0</v>
      </c>
      <c r="E429" s="20">
        <v>0</v>
      </c>
      <c r="F429" s="16" t="s">
        <v>9</v>
      </c>
      <c r="G429" s="21" t="s">
        <v>110</v>
      </c>
      <c r="H429" s="21" t="s">
        <v>110</v>
      </c>
      <c r="I429" s="20">
        <v>0</v>
      </c>
      <c r="J429" s="20">
        <v>0</v>
      </c>
      <c r="K429" s="20">
        <v>0</v>
      </c>
      <c r="L429" s="16" t="s">
        <v>110</v>
      </c>
    </row>
    <row r="430" spans="1:12">
      <c r="A430" s="12" t="s">
        <v>46</v>
      </c>
      <c r="B430" s="17">
        <v>45657</v>
      </c>
      <c r="C430" s="17">
        <v>45674</v>
      </c>
      <c r="D430" s="15">
        <v>17</v>
      </c>
      <c r="E430" s="15">
        <v>0</v>
      </c>
      <c r="F430" s="12" t="s">
        <v>17</v>
      </c>
      <c r="G430" s="18" t="s">
        <v>110</v>
      </c>
      <c r="H430" s="18" t="s">
        <v>110</v>
      </c>
      <c r="I430" s="15">
        <v>0</v>
      </c>
      <c r="J430" s="15">
        <v>0</v>
      </c>
      <c r="K430" s="15">
        <v>0</v>
      </c>
      <c r="L430" s="12" t="s">
        <v>110</v>
      </c>
    </row>
    <row r="431" spans="1:12">
      <c r="A431" s="16" t="s">
        <v>38</v>
      </c>
      <c r="B431" s="19">
        <v>45657</v>
      </c>
      <c r="C431" s="19" t="s">
        <v>110</v>
      </c>
      <c r="D431" s="20" t="e">
        <v>#N/A</v>
      </c>
      <c r="E431" s="20">
        <v>1</v>
      </c>
      <c r="F431" s="16" t="s">
        <v>5</v>
      </c>
      <c r="G431" s="21" t="s">
        <v>110</v>
      </c>
      <c r="H431" s="21" t="s">
        <v>110</v>
      </c>
      <c r="I431" s="20">
        <v>0</v>
      </c>
      <c r="J431" s="20">
        <v>0</v>
      </c>
      <c r="K431" s="20">
        <v>0</v>
      </c>
      <c r="L431" s="16" t="s">
        <v>110</v>
      </c>
    </row>
    <row r="432" spans="1:12">
      <c r="A432" s="12" t="s">
        <v>10</v>
      </c>
      <c r="B432" s="17">
        <v>45657</v>
      </c>
      <c r="C432" s="17">
        <v>45657</v>
      </c>
      <c r="D432" s="15">
        <v>0</v>
      </c>
      <c r="E432" s="15">
        <v>0</v>
      </c>
      <c r="F432" s="12" t="s">
        <v>7</v>
      </c>
      <c r="G432" s="18" t="s">
        <v>110</v>
      </c>
      <c r="H432" s="18" t="s">
        <v>110</v>
      </c>
      <c r="I432" s="15">
        <v>0</v>
      </c>
      <c r="J432" s="15">
        <v>0</v>
      </c>
      <c r="K432" s="15">
        <v>0</v>
      </c>
      <c r="L432" s="12" t="s">
        <v>110</v>
      </c>
    </row>
    <row r="433" spans="1:12">
      <c r="A433" s="16" t="s">
        <v>46</v>
      </c>
      <c r="B433" s="19">
        <v>45657</v>
      </c>
      <c r="C433" s="19">
        <v>45657</v>
      </c>
      <c r="D433" s="20">
        <v>0</v>
      </c>
      <c r="E433" s="20">
        <v>0</v>
      </c>
      <c r="F433" s="16" t="s">
        <v>5</v>
      </c>
      <c r="G433" s="21" t="s">
        <v>110</v>
      </c>
      <c r="H433" s="21" t="s">
        <v>110</v>
      </c>
      <c r="I433" s="20">
        <v>0</v>
      </c>
      <c r="J433" s="20">
        <v>0</v>
      </c>
      <c r="K433" s="20">
        <v>0</v>
      </c>
      <c r="L433" s="16" t="s">
        <v>110</v>
      </c>
    </row>
    <row r="434" spans="1:12">
      <c r="A434" s="12" t="s">
        <v>46</v>
      </c>
      <c r="B434" s="17">
        <v>45657</v>
      </c>
      <c r="C434" s="17">
        <v>45657</v>
      </c>
      <c r="D434" s="15">
        <v>0</v>
      </c>
      <c r="E434" s="15">
        <v>0</v>
      </c>
      <c r="F434" s="12" t="s">
        <v>9</v>
      </c>
      <c r="G434" s="18" t="s">
        <v>110</v>
      </c>
      <c r="H434" s="18" t="s">
        <v>110</v>
      </c>
      <c r="I434" s="15">
        <v>0</v>
      </c>
      <c r="J434" s="15">
        <v>0</v>
      </c>
      <c r="K434" s="15">
        <v>0</v>
      </c>
      <c r="L434" s="12" t="s">
        <v>110</v>
      </c>
    </row>
    <row r="435" spans="1:12">
      <c r="A435" s="16" t="s">
        <v>46</v>
      </c>
      <c r="B435" s="19">
        <v>45657</v>
      </c>
      <c r="C435" s="19">
        <v>45657</v>
      </c>
      <c r="D435" s="20">
        <v>0</v>
      </c>
      <c r="E435" s="20">
        <v>0</v>
      </c>
      <c r="F435" s="16" t="s">
        <v>13</v>
      </c>
      <c r="G435" s="21" t="s">
        <v>110</v>
      </c>
      <c r="H435" s="21" t="s">
        <v>110</v>
      </c>
      <c r="I435" s="20">
        <v>0</v>
      </c>
      <c r="J435" s="20">
        <v>0</v>
      </c>
      <c r="K435" s="20">
        <v>0</v>
      </c>
      <c r="L435" s="16" t="s">
        <v>110</v>
      </c>
    </row>
    <row r="436" spans="1:12">
      <c r="A436" s="12" t="s">
        <v>38</v>
      </c>
      <c r="B436" s="17">
        <v>45657</v>
      </c>
      <c r="C436" s="17" t="s">
        <v>110</v>
      </c>
      <c r="D436" s="15" t="e">
        <v>#N/A</v>
      </c>
      <c r="E436" s="15">
        <v>1</v>
      </c>
      <c r="F436" s="12" t="s">
        <v>5</v>
      </c>
      <c r="G436" s="18" t="s">
        <v>110</v>
      </c>
      <c r="H436" s="18" t="s">
        <v>110</v>
      </c>
      <c r="I436" s="15">
        <v>0</v>
      </c>
      <c r="J436" s="15">
        <v>0</v>
      </c>
      <c r="K436" s="15">
        <v>0</v>
      </c>
      <c r="L436" s="12" t="s">
        <v>110</v>
      </c>
    </row>
    <row r="437" spans="1:12">
      <c r="A437" s="16" t="s">
        <v>10</v>
      </c>
      <c r="B437" s="19">
        <v>45657</v>
      </c>
      <c r="C437" s="19">
        <v>45657</v>
      </c>
      <c r="D437" s="20">
        <v>0</v>
      </c>
      <c r="E437" s="20">
        <v>0</v>
      </c>
      <c r="F437" s="16" t="s">
        <v>7</v>
      </c>
      <c r="G437" s="21" t="s">
        <v>110</v>
      </c>
      <c r="H437" s="21" t="s">
        <v>110</v>
      </c>
      <c r="I437" s="20">
        <v>0</v>
      </c>
      <c r="J437" s="20">
        <v>0</v>
      </c>
      <c r="K437" s="20">
        <v>0</v>
      </c>
      <c r="L437" s="16" t="s">
        <v>110</v>
      </c>
    </row>
    <row r="438" spans="1:12">
      <c r="A438" s="12" t="s">
        <v>11</v>
      </c>
      <c r="B438" s="17">
        <v>45657</v>
      </c>
      <c r="C438" s="17">
        <v>45657</v>
      </c>
      <c r="D438" s="15">
        <v>0</v>
      </c>
      <c r="E438" s="15">
        <v>0</v>
      </c>
      <c r="F438" s="12" t="s">
        <v>9</v>
      </c>
      <c r="G438" s="18">
        <v>-105.0306868</v>
      </c>
      <c r="H438" s="18">
        <v>39.669540349999998</v>
      </c>
      <c r="I438" s="15">
        <v>1</v>
      </c>
      <c r="J438" s="15">
        <v>0</v>
      </c>
      <c r="K438" s="15">
        <v>0</v>
      </c>
      <c r="L438" s="12" t="s">
        <v>207</v>
      </c>
    </row>
    <row r="439" spans="1:12">
      <c r="A439" s="16" t="s">
        <v>38</v>
      </c>
      <c r="B439" s="19">
        <v>45657</v>
      </c>
      <c r="C439" s="19" t="s">
        <v>110</v>
      </c>
      <c r="D439" s="20" t="e">
        <v>#N/A</v>
      </c>
      <c r="E439" s="20">
        <v>1</v>
      </c>
      <c r="F439" s="16" t="s">
        <v>5</v>
      </c>
      <c r="G439" s="21" t="s">
        <v>110</v>
      </c>
      <c r="H439" s="21" t="s">
        <v>110</v>
      </c>
      <c r="I439" s="20">
        <v>0</v>
      </c>
      <c r="J439" s="20">
        <v>0</v>
      </c>
      <c r="K439" s="20">
        <v>0</v>
      </c>
      <c r="L439" s="16" t="s">
        <v>110</v>
      </c>
    </row>
    <row r="440" spans="1:12">
      <c r="A440" s="12" t="s">
        <v>27</v>
      </c>
      <c r="B440" s="17">
        <v>45657</v>
      </c>
      <c r="C440" s="17">
        <v>45657</v>
      </c>
      <c r="D440" s="15">
        <v>0</v>
      </c>
      <c r="E440" s="15">
        <v>0</v>
      </c>
      <c r="F440" s="12" t="s">
        <v>5</v>
      </c>
      <c r="G440" s="18" t="s">
        <v>110</v>
      </c>
      <c r="H440" s="18" t="s">
        <v>110</v>
      </c>
      <c r="I440" s="15">
        <v>0</v>
      </c>
      <c r="J440" s="15">
        <v>0</v>
      </c>
      <c r="K440" s="15">
        <v>0</v>
      </c>
      <c r="L440" s="12" t="s">
        <v>110</v>
      </c>
    </row>
    <row r="441" spans="1:12">
      <c r="A441" s="16" t="s">
        <v>46</v>
      </c>
      <c r="B441" s="19">
        <v>45657</v>
      </c>
      <c r="C441" s="19">
        <v>45657</v>
      </c>
      <c r="D441" s="20">
        <v>0</v>
      </c>
      <c r="E441" s="20">
        <v>0</v>
      </c>
      <c r="F441" s="16" t="s">
        <v>7</v>
      </c>
      <c r="G441" s="21" t="s">
        <v>110</v>
      </c>
      <c r="H441" s="21" t="s">
        <v>110</v>
      </c>
      <c r="I441" s="20">
        <v>0</v>
      </c>
      <c r="J441" s="20">
        <v>0</v>
      </c>
      <c r="K441" s="20">
        <v>0</v>
      </c>
      <c r="L441" s="16" t="s">
        <v>110</v>
      </c>
    </row>
    <row r="442" spans="1:12">
      <c r="A442" s="12" t="s">
        <v>4</v>
      </c>
      <c r="B442" s="17">
        <v>45657</v>
      </c>
      <c r="C442" s="17">
        <v>45659</v>
      </c>
      <c r="D442" s="15">
        <v>2</v>
      </c>
      <c r="E442" s="15">
        <v>0</v>
      </c>
      <c r="F442" s="12" t="s">
        <v>17</v>
      </c>
      <c r="G442" s="18" t="s">
        <v>110</v>
      </c>
      <c r="H442" s="18" t="s">
        <v>110</v>
      </c>
      <c r="I442" s="15">
        <v>0</v>
      </c>
      <c r="J442" s="15">
        <v>0</v>
      </c>
      <c r="K442" s="15">
        <v>0</v>
      </c>
      <c r="L442" s="12" t="s">
        <v>110</v>
      </c>
    </row>
    <row r="443" spans="1:12">
      <c r="A443" s="16" t="s">
        <v>10</v>
      </c>
      <c r="B443" s="19">
        <v>45657</v>
      </c>
      <c r="C443" s="19">
        <v>45657</v>
      </c>
      <c r="D443" s="20">
        <v>0</v>
      </c>
      <c r="E443" s="20">
        <v>0</v>
      </c>
      <c r="F443" s="16" t="s">
        <v>7</v>
      </c>
      <c r="G443" s="21" t="s">
        <v>110</v>
      </c>
      <c r="H443" s="21" t="s">
        <v>110</v>
      </c>
      <c r="I443" s="20">
        <v>0</v>
      </c>
      <c r="J443" s="20">
        <v>0</v>
      </c>
      <c r="K443" s="20">
        <v>0</v>
      </c>
      <c r="L443" s="16" t="s">
        <v>110</v>
      </c>
    </row>
    <row r="444" spans="1:12">
      <c r="A444" s="12" t="s">
        <v>46</v>
      </c>
      <c r="B444" s="17">
        <v>45657</v>
      </c>
      <c r="C444" s="17">
        <v>45674</v>
      </c>
      <c r="D444" s="15">
        <v>17</v>
      </c>
      <c r="E444" s="15">
        <v>0</v>
      </c>
      <c r="F444" s="12" t="s">
        <v>17</v>
      </c>
      <c r="G444" s="18" t="s">
        <v>110</v>
      </c>
      <c r="H444" s="18" t="s">
        <v>110</v>
      </c>
      <c r="I444" s="15">
        <v>0</v>
      </c>
      <c r="J444" s="15">
        <v>0</v>
      </c>
      <c r="K444" s="15">
        <v>0</v>
      </c>
      <c r="L444" s="12" t="s">
        <v>110</v>
      </c>
    </row>
    <row r="445" spans="1:12">
      <c r="A445" s="16" t="s">
        <v>10</v>
      </c>
      <c r="B445" s="19">
        <v>45657</v>
      </c>
      <c r="C445" s="19">
        <v>45657</v>
      </c>
      <c r="D445" s="20">
        <v>0</v>
      </c>
      <c r="E445" s="20">
        <v>0</v>
      </c>
      <c r="F445" s="16" t="s">
        <v>96</v>
      </c>
      <c r="G445" s="21" t="s">
        <v>110</v>
      </c>
      <c r="H445" s="21" t="s">
        <v>110</v>
      </c>
      <c r="I445" s="20">
        <v>0</v>
      </c>
      <c r="J445" s="20">
        <v>0</v>
      </c>
      <c r="K445" s="20">
        <v>0</v>
      </c>
      <c r="L445" s="16" t="s">
        <v>110</v>
      </c>
    </row>
    <row r="446" spans="1:12">
      <c r="A446" s="12" t="s">
        <v>46</v>
      </c>
      <c r="B446" s="17">
        <v>45657</v>
      </c>
      <c r="C446" s="17">
        <v>45657</v>
      </c>
      <c r="D446" s="15">
        <v>0</v>
      </c>
      <c r="E446" s="15">
        <v>0</v>
      </c>
      <c r="F446" s="12" t="s">
        <v>25</v>
      </c>
      <c r="G446" s="18" t="s">
        <v>110</v>
      </c>
      <c r="H446" s="18" t="s">
        <v>110</v>
      </c>
      <c r="I446" s="15">
        <v>0</v>
      </c>
      <c r="J446" s="15">
        <v>0</v>
      </c>
      <c r="K446" s="15">
        <v>0</v>
      </c>
      <c r="L446" s="12" t="s">
        <v>110</v>
      </c>
    </row>
    <row r="447" spans="1:12">
      <c r="A447" s="16" t="s">
        <v>10</v>
      </c>
      <c r="B447" s="19">
        <v>45657</v>
      </c>
      <c r="C447" s="19">
        <v>45658</v>
      </c>
      <c r="D447" s="20">
        <v>1</v>
      </c>
      <c r="E447" s="20">
        <v>0</v>
      </c>
      <c r="F447" s="16" t="s">
        <v>5</v>
      </c>
      <c r="G447" s="21">
        <v>-105.03979097</v>
      </c>
      <c r="H447" s="21">
        <v>39.73046961</v>
      </c>
      <c r="I447" s="20">
        <v>1</v>
      </c>
      <c r="J447" s="20">
        <v>0</v>
      </c>
      <c r="K447" s="20">
        <v>0</v>
      </c>
      <c r="L447" s="16" t="s">
        <v>110</v>
      </c>
    </row>
    <row r="448" spans="1:12">
      <c r="A448" s="12" t="s">
        <v>27</v>
      </c>
      <c r="B448" s="17">
        <v>45657</v>
      </c>
      <c r="C448" s="17">
        <v>45657</v>
      </c>
      <c r="D448" s="15">
        <v>0</v>
      </c>
      <c r="E448" s="15">
        <v>0</v>
      </c>
      <c r="F448" s="12" t="s">
        <v>9</v>
      </c>
      <c r="G448" s="18" t="s">
        <v>110</v>
      </c>
      <c r="H448" s="18" t="s">
        <v>110</v>
      </c>
      <c r="I448" s="15">
        <v>0</v>
      </c>
      <c r="J448" s="15">
        <v>0</v>
      </c>
      <c r="K448" s="15">
        <v>0</v>
      </c>
      <c r="L448" s="12" t="s">
        <v>110</v>
      </c>
    </row>
    <row r="449" spans="1:12">
      <c r="A449" s="16" t="s">
        <v>4</v>
      </c>
      <c r="B449" s="19">
        <v>45657</v>
      </c>
      <c r="C449" s="19">
        <v>45657</v>
      </c>
      <c r="D449" s="20">
        <v>0</v>
      </c>
      <c r="E449" s="20">
        <v>0</v>
      </c>
      <c r="F449" s="16" t="s">
        <v>5</v>
      </c>
      <c r="G449" s="21" t="s">
        <v>110</v>
      </c>
      <c r="H449" s="21" t="s">
        <v>110</v>
      </c>
      <c r="I449" s="20">
        <v>0</v>
      </c>
      <c r="J449" s="20">
        <v>0</v>
      </c>
      <c r="K449" s="20">
        <v>0</v>
      </c>
      <c r="L449" s="16" t="s">
        <v>110</v>
      </c>
    </row>
    <row r="450" spans="1:12">
      <c r="A450" s="12" t="s">
        <v>46</v>
      </c>
      <c r="B450" s="17">
        <v>45657</v>
      </c>
      <c r="C450" s="17">
        <v>45657</v>
      </c>
      <c r="D450" s="15">
        <v>0</v>
      </c>
      <c r="E450" s="15">
        <v>0</v>
      </c>
      <c r="F450" s="12" t="s">
        <v>9</v>
      </c>
      <c r="G450" s="18" t="s">
        <v>110</v>
      </c>
      <c r="H450" s="18" t="s">
        <v>110</v>
      </c>
      <c r="I450" s="15">
        <v>0</v>
      </c>
      <c r="J450" s="15">
        <v>0</v>
      </c>
      <c r="K450" s="15">
        <v>0</v>
      </c>
      <c r="L450" s="12" t="s">
        <v>110</v>
      </c>
    </row>
    <row r="451" spans="1:12">
      <c r="A451" s="16" t="s">
        <v>46</v>
      </c>
      <c r="B451" s="19">
        <v>45657</v>
      </c>
      <c r="C451" s="19">
        <v>45657</v>
      </c>
      <c r="D451" s="20">
        <v>0</v>
      </c>
      <c r="E451" s="20">
        <v>0</v>
      </c>
      <c r="F451" s="16" t="s">
        <v>22</v>
      </c>
      <c r="G451" s="21" t="s">
        <v>110</v>
      </c>
      <c r="H451" s="21" t="s">
        <v>110</v>
      </c>
      <c r="I451" s="20">
        <v>0</v>
      </c>
      <c r="J451" s="20">
        <v>0</v>
      </c>
      <c r="K451" s="20">
        <v>0</v>
      </c>
      <c r="L451" s="16" t="s">
        <v>110</v>
      </c>
    </row>
    <row r="452" spans="1:12">
      <c r="A452" s="12" t="s">
        <v>10</v>
      </c>
      <c r="B452" s="17">
        <v>45657</v>
      </c>
      <c r="C452" s="17">
        <v>45657</v>
      </c>
      <c r="D452" s="15">
        <v>0</v>
      </c>
      <c r="E452" s="15">
        <v>0</v>
      </c>
      <c r="F452" s="12" t="s">
        <v>12</v>
      </c>
      <c r="G452" s="18" t="s">
        <v>110</v>
      </c>
      <c r="H452" s="18" t="s">
        <v>110</v>
      </c>
      <c r="I452" s="15">
        <v>0</v>
      </c>
      <c r="J452" s="15">
        <v>0</v>
      </c>
      <c r="K452" s="15">
        <v>0</v>
      </c>
      <c r="L452" s="12" t="s">
        <v>110</v>
      </c>
    </row>
    <row r="453" spans="1:12">
      <c r="A453" s="16" t="s">
        <v>10</v>
      </c>
      <c r="B453" s="19">
        <v>45657</v>
      </c>
      <c r="C453" s="19">
        <v>45657</v>
      </c>
      <c r="D453" s="20">
        <v>0</v>
      </c>
      <c r="E453" s="20">
        <v>0</v>
      </c>
      <c r="F453" s="16" t="s">
        <v>5</v>
      </c>
      <c r="G453" s="21" t="s">
        <v>110</v>
      </c>
      <c r="H453" s="21" t="s">
        <v>110</v>
      </c>
      <c r="I453" s="20">
        <v>0</v>
      </c>
      <c r="J453" s="20">
        <v>0</v>
      </c>
      <c r="K453" s="20">
        <v>0</v>
      </c>
      <c r="L453" s="16" t="s">
        <v>110</v>
      </c>
    </row>
    <row r="454" spans="1:12">
      <c r="A454" s="12" t="s">
        <v>46</v>
      </c>
      <c r="B454" s="17">
        <v>45657</v>
      </c>
      <c r="C454" s="17">
        <v>45657</v>
      </c>
      <c r="D454" s="15">
        <v>0</v>
      </c>
      <c r="E454" s="15">
        <v>0</v>
      </c>
      <c r="F454" s="12" t="s">
        <v>9</v>
      </c>
      <c r="G454" s="18" t="s">
        <v>110</v>
      </c>
      <c r="H454" s="18" t="s">
        <v>110</v>
      </c>
      <c r="I454" s="15">
        <v>0</v>
      </c>
      <c r="J454" s="15">
        <v>0</v>
      </c>
      <c r="K454" s="15">
        <v>0</v>
      </c>
      <c r="L454" s="12" t="s">
        <v>110</v>
      </c>
    </row>
    <row r="455" spans="1:12">
      <c r="A455" s="16" t="s">
        <v>10</v>
      </c>
      <c r="B455" s="19">
        <v>45657</v>
      </c>
      <c r="C455" s="19">
        <v>45657</v>
      </c>
      <c r="D455" s="20">
        <v>0</v>
      </c>
      <c r="E455" s="20">
        <v>0</v>
      </c>
      <c r="F455" s="16" t="s">
        <v>7</v>
      </c>
      <c r="G455" s="21" t="s">
        <v>110</v>
      </c>
      <c r="H455" s="21" t="s">
        <v>110</v>
      </c>
      <c r="I455" s="20">
        <v>0</v>
      </c>
      <c r="J455" s="20">
        <v>0</v>
      </c>
      <c r="K455" s="20">
        <v>0</v>
      </c>
      <c r="L455" s="16" t="s">
        <v>110</v>
      </c>
    </row>
    <row r="456" spans="1:12">
      <c r="A456" s="12" t="s">
        <v>46</v>
      </c>
      <c r="B456" s="17">
        <v>45657</v>
      </c>
      <c r="C456" s="17">
        <v>45657</v>
      </c>
      <c r="D456" s="15">
        <v>0</v>
      </c>
      <c r="E456" s="15">
        <v>0</v>
      </c>
      <c r="F456" s="12" t="s">
        <v>13</v>
      </c>
      <c r="G456" s="18" t="s">
        <v>110</v>
      </c>
      <c r="H456" s="18" t="s">
        <v>110</v>
      </c>
      <c r="I456" s="15">
        <v>0</v>
      </c>
      <c r="J456" s="15">
        <v>0</v>
      </c>
      <c r="K456" s="15">
        <v>0</v>
      </c>
      <c r="L456" s="12" t="s">
        <v>110</v>
      </c>
    </row>
    <row r="457" spans="1:12">
      <c r="A457" s="16" t="s">
        <v>46</v>
      </c>
      <c r="B457" s="19">
        <v>45657</v>
      </c>
      <c r="C457" s="19">
        <v>45657</v>
      </c>
      <c r="D457" s="20">
        <v>0</v>
      </c>
      <c r="E457" s="20">
        <v>0</v>
      </c>
      <c r="F457" s="16" t="s">
        <v>13</v>
      </c>
      <c r="G457" s="21" t="s">
        <v>110</v>
      </c>
      <c r="H457" s="21" t="s">
        <v>110</v>
      </c>
      <c r="I457" s="20">
        <v>0</v>
      </c>
      <c r="J457" s="20">
        <v>0</v>
      </c>
      <c r="K457" s="20">
        <v>0</v>
      </c>
      <c r="L457" s="16" t="s">
        <v>110</v>
      </c>
    </row>
    <row r="458" spans="1:12">
      <c r="A458" s="12" t="s">
        <v>38</v>
      </c>
      <c r="B458" s="17">
        <v>45657</v>
      </c>
      <c r="C458" s="17" t="s">
        <v>110</v>
      </c>
      <c r="D458" s="15" t="e">
        <v>#N/A</v>
      </c>
      <c r="E458" s="15">
        <v>1</v>
      </c>
      <c r="F458" s="12" t="s">
        <v>5</v>
      </c>
      <c r="G458" s="18" t="s">
        <v>110</v>
      </c>
      <c r="H458" s="18" t="s">
        <v>110</v>
      </c>
      <c r="I458" s="15">
        <v>0</v>
      </c>
      <c r="J458" s="15">
        <v>0</v>
      </c>
      <c r="K458" s="15">
        <v>0</v>
      </c>
      <c r="L458" s="12" t="s">
        <v>110</v>
      </c>
    </row>
    <row r="459" spans="1:12">
      <c r="A459" s="16" t="s">
        <v>10</v>
      </c>
      <c r="B459" s="19">
        <v>45657</v>
      </c>
      <c r="C459" s="19">
        <v>45657</v>
      </c>
      <c r="D459" s="20">
        <v>0</v>
      </c>
      <c r="E459" s="20">
        <v>0</v>
      </c>
      <c r="F459" s="16" t="s">
        <v>5</v>
      </c>
      <c r="G459" s="21" t="s">
        <v>110</v>
      </c>
      <c r="H459" s="21" t="s">
        <v>110</v>
      </c>
      <c r="I459" s="20">
        <v>0</v>
      </c>
      <c r="J459" s="20">
        <v>0</v>
      </c>
      <c r="K459" s="20">
        <v>0</v>
      </c>
      <c r="L459" s="16" t="s">
        <v>110</v>
      </c>
    </row>
    <row r="460" spans="1:12">
      <c r="A460" s="12" t="s">
        <v>46</v>
      </c>
      <c r="B460" s="17">
        <v>45657</v>
      </c>
      <c r="C460" s="17">
        <v>45660</v>
      </c>
      <c r="D460" s="15">
        <v>3</v>
      </c>
      <c r="E460" s="15">
        <v>0</v>
      </c>
      <c r="F460" s="12" t="s">
        <v>7</v>
      </c>
      <c r="G460" s="18" t="s">
        <v>110</v>
      </c>
      <c r="H460" s="18" t="s">
        <v>110</v>
      </c>
      <c r="I460" s="15">
        <v>0</v>
      </c>
      <c r="J460" s="15">
        <v>0</v>
      </c>
      <c r="K460" s="15">
        <v>0</v>
      </c>
      <c r="L460" s="12" t="s">
        <v>110</v>
      </c>
    </row>
    <row r="461" spans="1:12">
      <c r="A461" s="16" t="s">
        <v>10</v>
      </c>
      <c r="B461" s="19">
        <v>45657</v>
      </c>
      <c r="C461" s="19">
        <v>45657</v>
      </c>
      <c r="D461" s="20">
        <v>0</v>
      </c>
      <c r="E461" s="20">
        <v>0</v>
      </c>
      <c r="F461" s="16" t="s">
        <v>26</v>
      </c>
      <c r="G461" s="21" t="s">
        <v>110</v>
      </c>
      <c r="H461" s="21" t="s">
        <v>110</v>
      </c>
      <c r="I461" s="20">
        <v>0</v>
      </c>
      <c r="J461" s="20">
        <v>0</v>
      </c>
      <c r="K461" s="20">
        <v>0</v>
      </c>
      <c r="L461" s="16" t="s">
        <v>110</v>
      </c>
    </row>
    <row r="462" spans="1:12">
      <c r="A462" s="12" t="s">
        <v>38</v>
      </c>
      <c r="B462" s="17">
        <v>45657</v>
      </c>
      <c r="C462" s="17" t="s">
        <v>110</v>
      </c>
      <c r="D462" s="15" t="e">
        <v>#N/A</v>
      </c>
      <c r="E462" s="15">
        <v>1</v>
      </c>
      <c r="F462" s="12" t="s">
        <v>5</v>
      </c>
      <c r="G462" s="18" t="s">
        <v>110</v>
      </c>
      <c r="H462" s="18" t="s">
        <v>110</v>
      </c>
      <c r="I462" s="15">
        <v>0</v>
      </c>
      <c r="J462" s="15">
        <v>0</v>
      </c>
      <c r="K462" s="15">
        <v>0</v>
      </c>
      <c r="L462" s="12" t="s">
        <v>110</v>
      </c>
    </row>
    <row r="463" spans="1:12">
      <c r="A463" s="16" t="s">
        <v>46</v>
      </c>
      <c r="B463" s="19">
        <v>45657</v>
      </c>
      <c r="C463" s="19">
        <v>45657</v>
      </c>
      <c r="D463" s="20">
        <v>0</v>
      </c>
      <c r="E463" s="20">
        <v>0</v>
      </c>
      <c r="F463" s="16" t="s">
        <v>9</v>
      </c>
      <c r="G463" s="21" t="s">
        <v>110</v>
      </c>
      <c r="H463" s="21" t="s">
        <v>110</v>
      </c>
      <c r="I463" s="20">
        <v>0</v>
      </c>
      <c r="J463" s="20">
        <v>0</v>
      </c>
      <c r="K463" s="20">
        <v>0</v>
      </c>
      <c r="L463" s="16" t="s">
        <v>110</v>
      </c>
    </row>
    <row r="464" spans="1:12">
      <c r="A464" s="12" t="s">
        <v>46</v>
      </c>
      <c r="B464" s="17">
        <v>45657</v>
      </c>
      <c r="C464" s="17">
        <v>45657</v>
      </c>
      <c r="D464" s="15">
        <v>0</v>
      </c>
      <c r="E464" s="15">
        <v>0</v>
      </c>
      <c r="F464" s="12" t="s">
        <v>5</v>
      </c>
      <c r="G464" s="18" t="s">
        <v>110</v>
      </c>
      <c r="H464" s="18" t="s">
        <v>110</v>
      </c>
      <c r="I464" s="15">
        <v>0</v>
      </c>
      <c r="J464" s="15">
        <v>0</v>
      </c>
      <c r="K464" s="15">
        <v>0</v>
      </c>
      <c r="L464" s="12" t="s">
        <v>110</v>
      </c>
    </row>
    <row r="465" spans="1:12">
      <c r="A465" s="16" t="s">
        <v>46</v>
      </c>
      <c r="B465" s="19">
        <v>45657</v>
      </c>
      <c r="C465" s="19">
        <v>45657</v>
      </c>
      <c r="D465" s="20">
        <v>0</v>
      </c>
      <c r="E465" s="20">
        <v>0</v>
      </c>
      <c r="F465" s="16" t="s">
        <v>9</v>
      </c>
      <c r="G465" s="21" t="s">
        <v>110</v>
      </c>
      <c r="H465" s="21" t="s">
        <v>110</v>
      </c>
      <c r="I465" s="20">
        <v>0</v>
      </c>
      <c r="J465" s="20">
        <v>0</v>
      </c>
      <c r="K465" s="20">
        <v>0</v>
      </c>
      <c r="L465" s="16" t="s">
        <v>110</v>
      </c>
    </row>
    <row r="466" spans="1:12">
      <c r="A466" s="12" t="s">
        <v>10</v>
      </c>
      <c r="B466" s="17">
        <v>45657</v>
      </c>
      <c r="C466" s="17">
        <v>45658</v>
      </c>
      <c r="D466" s="15">
        <v>1</v>
      </c>
      <c r="E466" s="15">
        <v>0</v>
      </c>
      <c r="F466" s="12" t="s">
        <v>5</v>
      </c>
      <c r="G466" s="18">
        <v>-104.91788504</v>
      </c>
      <c r="H466" s="18">
        <v>39.704650870000002</v>
      </c>
      <c r="I466" s="15">
        <v>1</v>
      </c>
      <c r="J466" s="15">
        <v>0</v>
      </c>
      <c r="K466" s="15">
        <v>0</v>
      </c>
      <c r="L466" s="12" t="s">
        <v>110</v>
      </c>
    </row>
    <row r="467" spans="1:12">
      <c r="A467" s="16" t="s">
        <v>10</v>
      </c>
      <c r="B467" s="19">
        <v>45657</v>
      </c>
      <c r="C467" s="19">
        <v>45657</v>
      </c>
      <c r="D467" s="20">
        <v>0</v>
      </c>
      <c r="E467" s="20">
        <v>0</v>
      </c>
      <c r="F467" s="16" t="s">
        <v>13</v>
      </c>
      <c r="G467" s="21" t="s">
        <v>110</v>
      </c>
      <c r="H467" s="21" t="s">
        <v>110</v>
      </c>
      <c r="I467" s="20">
        <v>0</v>
      </c>
      <c r="J467" s="20">
        <v>0</v>
      </c>
      <c r="K467" s="20">
        <v>0</v>
      </c>
      <c r="L467" s="16" t="s">
        <v>110</v>
      </c>
    </row>
    <row r="468" spans="1:12">
      <c r="A468" s="12" t="s">
        <v>4</v>
      </c>
      <c r="B468" s="17">
        <v>45657</v>
      </c>
      <c r="C468" s="17">
        <v>45657</v>
      </c>
      <c r="D468" s="15">
        <v>0</v>
      </c>
      <c r="E468" s="15">
        <v>0</v>
      </c>
      <c r="F468" s="12" t="s">
        <v>5</v>
      </c>
      <c r="G468" s="18" t="s">
        <v>110</v>
      </c>
      <c r="H468" s="18" t="s">
        <v>110</v>
      </c>
      <c r="I468" s="15">
        <v>0</v>
      </c>
      <c r="J468" s="15">
        <v>0</v>
      </c>
      <c r="K468" s="15">
        <v>0</v>
      </c>
      <c r="L468" s="12" t="s">
        <v>110</v>
      </c>
    </row>
    <row r="469" spans="1:12">
      <c r="A469" s="16" t="s">
        <v>46</v>
      </c>
      <c r="B469" s="19">
        <v>45657</v>
      </c>
      <c r="C469" s="19">
        <v>45657</v>
      </c>
      <c r="D469" s="20">
        <v>0</v>
      </c>
      <c r="E469" s="20">
        <v>0</v>
      </c>
      <c r="F469" s="16" t="s">
        <v>9</v>
      </c>
      <c r="G469" s="21">
        <v>-105.0511327</v>
      </c>
      <c r="H469" s="21">
        <v>39.767977739999999</v>
      </c>
      <c r="I469" s="20">
        <v>1</v>
      </c>
      <c r="J469" s="20">
        <v>0</v>
      </c>
      <c r="K469" s="20">
        <v>0</v>
      </c>
      <c r="L469" s="16" t="s">
        <v>202</v>
      </c>
    </row>
    <row r="470" spans="1:12">
      <c r="A470" s="12" t="s">
        <v>46</v>
      </c>
      <c r="B470" s="17">
        <v>45657</v>
      </c>
      <c r="C470" s="17">
        <v>45657</v>
      </c>
      <c r="D470" s="15">
        <v>0</v>
      </c>
      <c r="E470" s="15">
        <v>0</v>
      </c>
      <c r="F470" s="12" t="s">
        <v>96</v>
      </c>
      <c r="G470" s="18" t="s">
        <v>110</v>
      </c>
      <c r="H470" s="18" t="s">
        <v>110</v>
      </c>
      <c r="I470" s="15">
        <v>0</v>
      </c>
      <c r="J470" s="15">
        <v>0</v>
      </c>
      <c r="K470" s="15">
        <v>0</v>
      </c>
      <c r="L470" s="12" t="s">
        <v>110</v>
      </c>
    </row>
    <row r="471" spans="1:12">
      <c r="A471" s="16" t="s">
        <v>10</v>
      </c>
      <c r="B471" s="19">
        <v>45657</v>
      </c>
      <c r="C471" s="19">
        <v>45657</v>
      </c>
      <c r="D471" s="20">
        <v>0</v>
      </c>
      <c r="E471" s="20">
        <v>0</v>
      </c>
      <c r="F471" s="16" t="s">
        <v>9</v>
      </c>
      <c r="G471" s="21" t="s">
        <v>110</v>
      </c>
      <c r="H471" s="21" t="s">
        <v>110</v>
      </c>
      <c r="I471" s="20">
        <v>0</v>
      </c>
      <c r="J471" s="20">
        <v>0</v>
      </c>
      <c r="K471" s="20">
        <v>0</v>
      </c>
      <c r="L471" s="16" t="s">
        <v>110</v>
      </c>
    </row>
    <row r="472" spans="1:12">
      <c r="A472" s="12" t="s">
        <v>10</v>
      </c>
      <c r="B472" s="17">
        <v>45657</v>
      </c>
      <c r="C472" s="17">
        <v>45657</v>
      </c>
      <c r="D472" s="15">
        <v>0</v>
      </c>
      <c r="E472" s="15">
        <v>0</v>
      </c>
      <c r="F472" s="12" t="s">
        <v>13</v>
      </c>
      <c r="G472" s="18" t="s">
        <v>110</v>
      </c>
      <c r="H472" s="18" t="s">
        <v>110</v>
      </c>
      <c r="I472" s="15">
        <v>0</v>
      </c>
      <c r="J472" s="15">
        <v>0</v>
      </c>
      <c r="K472" s="15">
        <v>0</v>
      </c>
      <c r="L472" s="12" t="s">
        <v>110</v>
      </c>
    </row>
    <row r="473" spans="1:12">
      <c r="A473" s="16" t="s">
        <v>10</v>
      </c>
      <c r="B473" s="19">
        <v>45657</v>
      </c>
      <c r="C473" s="19">
        <v>45657</v>
      </c>
      <c r="D473" s="20">
        <v>0</v>
      </c>
      <c r="E473" s="20">
        <v>0</v>
      </c>
      <c r="F473" s="16" t="s">
        <v>7</v>
      </c>
      <c r="G473" s="21" t="s">
        <v>110</v>
      </c>
      <c r="H473" s="21" t="s">
        <v>110</v>
      </c>
      <c r="I473" s="20">
        <v>0</v>
      </c>
      <c r="J473" s="20">
        <v>0</v>
      </c>
      <c r="K473" s="20">
        <v>0</v>
      </c>
      <c r="L473" s="16" t="s">
        <v>110</v>
      </c>
    </row>
    <row r="474" spans="1:12">
      <c r="A474" s="12" t="s">
        <v>46</v>
      </c>
      <c r="B474" s="17">
        <v>45657</v>
      </c>
      <c r="C474" s="17">
        <v>45657</v>
      </c>
      <c r="D474" s="15">
        <v>0</v>
      </c>
      <c r="E474" s="15">
        <v>0</v>
      </c>
      <c r="F474" s="12" t="s">
        <v>5</v>
      </c>
      <c r="G474" s="18" t="s">
        <v>110</v>
      </c>
      <c r="H474" s="18" t="s">
        <v>110</v>
      </c>
      <c r="I474" s="15">
        <v>0</v>
      </c>
      <c r="J474" s="15">
        <v>0</v>
      </c>
      <c r="K474" s="15">
        <v>0</v>
      </c>
      <c r="L474" s="12" t="s">
        <v>110</v>
      </c>
    </row>
    <row r="475" spans="1:12">
      <c r="A475" s="16" t="s">
        <v>38</v>
      </c>
      <c r="B475" s="19">
        <v>45657</v>
      </c>
      <c r="C475" s="19" t="s">
        <v>110</v>
      </c>
      <c r="D475" s="20" t="e">
        <v>#N/A</v>
      </c>
      <c r="E475" s="20">
        <v>1</v>
      </c>
      <c r="F475" s="16" t="s">
        <v>5</v>
      </c>
      <c r="G475" s="21" t="s">
        <v>110</v>
      </c>
      <c r="H475" s="21" t="s">
        <v>110</v>
      </c>
      <c r="I475" s="20">
        <v>0</v>
      </c>
      <c r="J475" s="20">
        <v>0</v>
      </c>
      <c r="K475" s="20">
        <v>0</v>
      </c>
      <c r="L475" s="16" t="s">
        <v>110</v>
      </c>
    </row>
    <row r="476" spans="1:12">
      <c r="A476" s="12" t="s">
        <v>46</v>
      </c>
      <c r="B476" s="17">
        <v>45657</v>
      </c>
      <c r="C476" s="17">
        <v>45678</v>
      </c>
      <c r="D476" s="15">
        <v>21</v>
      </c>
      <c r="E476" s="15">
        <v>0</v>
      </c>
      <c r="F476" s="12" t="s">
        <v>17</v>
      </c>
      <c r="G476" s="18" t="s">
        <v>110</v>
      </c>
      <c r="H476" s="18" t="s">
        <v>110</v>
      </c>
      <c r="I476" s="15">
        <v>0</v>
      </c>
      <c r="J476" s="15">
        <v>0</v>
      </c>
      <c r="K476" s="15">
        <v>0</v>
      </c>
      <c r="L476" s="12" t="s">
        <v>110</v>
      </c>
    </row>
    <row r="477" spans="1:12">
      <c r="A477" s="16" t="s">
        <v>46</v>
      </c>
      <c r="B477" s="19">
        <v>45657</v>
      </c>
      <c r="C477" s="19">
        <v>45663</v>
      </c>
      <c r="D477" s="20">
        <v>6</v>
      </c>
      <c r="E477" s="20">
        <v>0</v>
      </c>
      <c r="F477" s="16" t="s">
        <v>17</v>
      </c>
      <c r="G477" s="21" t="s">
        <v>110</v>
      </c>
      <c r="H477" s="21" t="s">
        <v>110</v>
      </c>
      <c r="I477" s="20">
        <v>0</v>
      </c>
      <c r="J477" s="20">
        <v>0</v>
      </c>
      <c r="K477" s="20">
        <v>0</v>
      </c>
      <c r="L477" s="16" t="s">
        <v>110</v>
      </c>
    </row>
    <row r="478" spans="1:12">
      <c r="A478" s="12" t="s">
        <v>46</v>
      </c>
      <c r="B478" s="17">
        <v>45657</v>
      </c>
      <c r="C478" s="17">
        <v>45657</v>
      </c>
      <c r="D478" s="15">
        <v>0</v>
      </c>
      <c r="E478" s="15">
        <v>0</v>
      </c>
      <c r="F478" s="12" t="s">
        <v>5</v>
      </c>
      <c r="G478" s="18" t="s">
        <v>110</v>
      </c>
      <c r="H478" s="18" t="s">
        <v>110</v>
      </c>
      <c r="I478" s="15">
        <v>0</v>
      </c>
      <c r="J478" s="15">
        <v>0</v>
      </c>
      <c r="K478" s="15">
        <v>0</v>
      </c>
      <c r="L478" s="12" t="s">
        <v>110</v>
      </c>
    </row>
    <row r="479" spans="1:12">
      <c r="A479" s="16" t="s">
        <v>10</v>
      </c>
      <c r="B479" s="19">
        <v>45657</v>
      </c>
      <c r="C479" s="19">
        <v>45657</v>
      </c>
      <c r="D479" s="20">
        <v>0</v>
      </c>
      <c r="E479" s="20">
        <v>0</v>
      </c>
      <c r="F479" s="16" t="s">
        <v>26</v>
      </c>
      <c r="G479" s="21" t="s">
        <v>110</v>
      </c>
      <c r="H479" s="21" t="s">
        <v>110</v>
      </c>
      <c r="I479" s="20">
        <v>0</v>
      </c>
      <c r="J479" s="20">
        <v>0</v>
      </c>
      <c r="K479" s="20">
        <v>0</v>
      </c>
      <c r="L479" s="16" t="s">
        <v>110</v>
      </c>
    </row>
    <row r="480" spans="1:12">
      <c r="A480" s="12" t="s">
        <v>4</v>
      </c>
      <c r="B480" s="17">
        <v>45657</v>
      </c>
      <c r="C480" s="17">
        <v>45657</v>
      </c>
      <c r="D480" s="15">
        <v>0</v>
      </c>
      <c r="E480" s="15">
        <v>0</v>
      </c>
      <c r="F480" s="12" t="s">
        <v>5</v>
      </c>
      <c r="G480" s="18" t="s">
        <v>110</v>
      </c>
      <c r="H480" s="18" t="s">
        <v>110</v>
      </c>
      <c r="I480" s="15">
        <v>0</v>
      </c>
      <c r="J480" s="15">
        <v>0</v>
      </c>
      <c r="K480" s="15">
        <v>0</v>
      </c>
      <c r="L480" s="12" t="s">
        <v>110</v>
      </c>
    </row>
    <row r="481" spans="1:12">
      <c r="A481" s="16" t="s">
        <v>10</v>
      </c>
      <c r="B481" s="19">
        <v>45657</v>
      </c>
      <c r="C481" s="19">
        <v>45657</v>
      </c>
      <c r="D481" s="20">
        <v>0</v>
      </c>
      <c r="E481" s="20">
        <v>0</v>
      </c>
      <c r="F481" s="16" t="s">
        <v>7</v>
      </c>
      <c r="G481" s="21" t="s">
        <v>110</v>
      </c>
      <c r="H481" s="21" t="s">
        <v>110</v>
      </c>
      <c r="I481" s="20">
        <v>0</v>
      </c>
      <c r="J481" s="20">
        <v>0</v>
      </c>
      <c r="K481" s="20">
        <v>0</v>
      </c>
      <c r="L481" s="16" t="s">
        <v>110</v>
      </c>
    </row>
    <row r="482" spans="1:12">
      <c r="A482" s="12" t="s">
        <v>46</v>
      </c>
      <c r="B482" s="17">
        <v>45657</v>
      </c>
      <c r="C482" s="17">
        <v>45657</v>
      </c>
      <c r="D482" s="15">
        <v>0</v>
      </c>
      <c r="E482" s="15">
        <v>0</v>
      </c>
      <c r="F482" s="12" t="s">
        <v>13</v>
      </c>
      <c r="G482" s="18" t="s">
        <v>110</v>
      </c>
      <c r="H482" s="18" t="s">
        <v>110</v>
      </c>
      <c r="I482" s="15">
        <v>0</v>
      </c>
      <c r="J482" s="15">
        <v>0</v>
      </c>
      <c r="K482" s="15">
        <v>0</v>
      </c>
      <c r="L482" s="12" t="s">
        <v>110</v>
      </c>
    </row>
    <row r="483" spans="1:12">
      <c r="A483" s="16" t="s">
        <v>46</v>
      </c>
      <c r="B483" s="19">
        <v>45657</v>
      </c>
      <c r="C483" s="19">
        <v>45657</v>
      </c>
      <c r="D483" s="20">
        <v>0</v>
      </c>
      <c r="E483" s="20">
        <v>0</v>
      </c>
      <c r="F483" s="16" t="s">
        <v>13</v>
      </c>
      <c r="G483" s="21" t="s">
        <v>110</v>
      </c>
      <c r="H483" s="21" t="s">
        <v>110</v>
      </c>
      <c r="I483" s="20">
        <v>0</v>
      </c>
      <c r="J483" s="20">
        <v>0</v>
      </c>
      <c r="K483" s="20">
        <v>0</v>
      </c>
      <c r="L483" s="16" t="s">
        <v>110</v>
      </c>
    </row>
    <row r="484" spans="1:12">
      <c r="A484" s="12" t="s">
        <v>10</v>
      </c>
      <c r="B484" s="17">
        <v>45657</v>
      </c>
      <c r="C484" s="17">
        <v>45657</v>
      </c>
      <c r="D484" s="15">
        <v>0</v>
      </c>
      <c r="E484" s="15">
        <v>0</v>
      </c>
      <c r="F484" s="12" t="s">
        <v>13</v>
      </c>
      <c r="G484" s="18" t="s">
        <v>110</v>
      </c>
      <c r="H484" s="18" t="s">
        <v>110</v>
      </c>
      <c r="I484" s="15">
        <v>0</v>
      </c>
      <c r="J484" s="15">
        <v>0</v>
      </c>
      <c r="K484" s="15">
        <v>0</v>
      </c>
      <c r="L484" s="12" t="s">
        <v>110</v>
      </c>
    </row>
    <row r="485" spans="1:12">
      <c r="A485" s="16" t="s">
        <v>46</v>
      </c>
      <c r="B485" s="19">
        <v>45657</v>
      </c>
      <c r="C485" s="19">
        <v>45658</v>
      </c>
      <c r="D485" s="20">
        <v>1</v>
      </c>
      <c r="E485" s="20">
        <v>0</v>
      </c>
      <c r="F485" s="16" t="s">
        <v>17</v>
      </c>
      <c r="G485" s="21" t="s">
        <v>110</v>
      </c>
      <c r="H485" s="21" t="s">
        <v>110</v>
      </c>
      <c r="I485" s="20">
        <v>0</v>
      </c>
      <c r="J485" s="20">
        <v>0</v>
      </c>
      <c r="K485" s="20">
        <v>0</v>
      </c>
      <c r="L485" s="16" t="s">
        <v>110</v>
      </c>
    </row>
    <row r="486" spans="1:12">
      <c r="A486" s="12" t="s">
        <v>4</v>
      </c>
      <c r="B486" s="17">
        <v>45657</v>
      </c>
      <c r="C486" s="17">
        <v>45657</v>
      </c>
      <c r="D486" s="15">
        <v>0</v>
      </c>
      <c r="E486" s="15">
        <v>0</v>
      </c>
      <c r="F486" s="12" t="s">
        <v>5</v>
      </c>
      <c r="G486" s="18" t="s">
        <v>110</v>
      </c>
      <c r="H486" s="18" t="s">
        <v>110</v>
      </c>
      <c r="I486" s="15">
        <v>0</v>
      </c>
      <c r="J486" s="15">
        <v>0</v>
      </c>
      <c r="K486" s="15">
        <v>0</v>
      </c>
      <c r="L486" s="12" t="s">
        <v>110</v>
      </c>
    </row>
    <row r="487" spans="1:12">
      <c r="A487" s="16" t="s">
        <v>10</v>
      </c>
      <c r="B487" s="19">
        <v>45657</v>
      </c>
      <c r="C487" s="19">
        <v>45657</v>
      </c>
      <c r="D487" s="20">
        <v>0</v>
      </c>
      <c r="E487" s="20">
        <v>0</v>
      </c>
      <c r="F487" s="16" t="s">
        <v>13</v>
      </c>
      <c r="G487" s="21" t="s">
        <v>110</v>
      </c>
      <c r="H487" s="21" t="s">
        <v>110</v>
      </c>
      <c r="I487" s="20">
        <v>0</v>
      </c>
      <c r="J487" s="20">
        <v>0</v>
      </c>
      <c r="K487" s="20">
        <v>0</v>
      </c>
      <c r="L487" s="16" t="s">
        <v>110</v>
      </c>
    </row>
    <row r="488" spans="1:12">
      <c r="A488" s="12" t="s">
        <v>10</v>
      </c>
      <c r="B488" s="17">
        <v>45657</v>
      </c>
      <c r="C488" s="17">
        <v>45657</v>
      </c>
      <c r="D488" s="15">
        <v>0</v>
      </c>
      <c r="E488" s="15">
        <v>0</v>
      </c>
      <c r="F488" s="12" t="s">
        <v>26</v>
      </c>
      <c r="G488" s="18" t="s">
        <v>110</v>
      </c>
      <c r="H488" s="18" t="s">
        <v>110</v>
      </c>
      <c r="I488" s="15">
        <v>0</v>
      </c>
      <c r="J488" s="15">
        <v>0</v>
      </c>
      <c r="K488" s="15">
        <v>0</v>
      </c>
      <c r="L488" s="12" t="s">
        <v>110</v>
      </c>
    </row>
    <row r="489" spans="1:12">
      <c r="A489" s="16" t="s">
        <v>46</v>
      </c>
      <c r="B489" s="19">
        <v>45657</v>
      </c>
      <c r="C489" s="19">
        <v>45657</v>
      </c>
      <c r="D489" s="20">
        <v>0</v>
      </c>
      <c r="E489" s="20">
        <v>0</v>
      </c>
      <c r="F489" s="16" t="s">
        <v>5</v>
      </c>
      <c r="G489" s="21" t="s">
        <v>110</v>
      </c>
      <c r="H489" s="21" t="s">
        <v>110</v>
      </c>
      <c r="I489" s="20">
        <v>0</v>
      </c>
      <c r="J489" s="20">
        <v>0</v>
      </c>
      <c r="K489" s="20">
        <v>0</v>
      </c>
      <c r="L489" s="16" t="s">
        <v>110</v>
      </c>
    </row>
    <row r="490" spans="1:12">
      <c r="A490" s="12" t="s">
        <v>10</v>
      </c>
      <c r="B490" s="17">
        <v>45657</v>
      </c>
      <c r="C490" s="17">
        <v>45657</v>
      </c>
      <c r="D490" s="15">
        <v>0</v>
      </c>
      <c r="E490" s="15">
        <v>0</v>
      </c>
      <c r="F490" s="12" t="s">
        <v>7</v>
      </c>
      <c r="G490" s="18" t="s">
        <v>110</v>
      </c>
      <c r="H490" s="18" t="s">
        <v>110</v>
      </c>
      <c r="I490" s="15">
        <v>0</v>
      </c>
      <c r="J490" s="15">
        <v>0</v>
      </c>
      <c r="K490" s="15">
        <v>0</v>
      </c>
      <c r="L490" s="12" t="s">
        <v>110</v>
      </c>
    </row>
    <row r="491" spans="1:12">
      <c r="A491" s="16" t="s">
        <v>46</v>
      </c>
      <c r="B491" s="19">
        <v>45657</v>
      </c>
      <c r="C491" s="19">
        <v>45657</v>
      </c>
      <c r="D491" s="20">
        <v>0</v>
      </c>
      <c r="E491" s="20">
        <v>0</v>
      </c>
      <c r="F491" s="16" t="s">
        <v>13</v>
      </c>
      <c r="G491" s="21" t="s">
        <v>110</v>
      </c>
      <c r="H491" s="21" t="s">
        <v>110</v>
      </c>
      <c r="I491" s="20">
        <v>0</v>
      </c>
      <c r="J491" s="20">
        <v>0</v>
      </c>
      <c r="K491" s="20">
        <v>0</v>
      </c>
      <c r="L491" s="16" t="s">
        <v>110</v>
      </c>
    </row>
    <row r="492" spans="1:12">
      <c r="A492" s="12" t="s">
        <v>10</v>
      </c>
      <c r="B492" s="17">
        <v>45657</v>
      </c>
      <c r="C492" s="17">
        <v>45657</v>
      </c>
      <c r="D492" s="15">
        <v>0</v>
      </c>
      <c r="E492" s="15">
        <v>0</v>
      </c>
      <c r="F492" s="12" t="s">
        <v>5</v>
      </c>
      <c r="G492" s="18" t="s">
        <v>110</v>
      </c>
      <c r="H492" s="18" t="s">
        <v>110</v>
      </c>
      <c r="I492" s="15">
        <v>0</v>
      </c>
      <c r="J492" s="15">
        <v>0</v>
      </c>
      <c r="K492" s="15">
        <v>0</v>
      </c>
      <c r="L492" s="12" t="s">
        <v>110</v>
      </c>
    </row>
    <row r="493" spans="1:12">
      <c r="A493" s="16" t="s">
        <v>46</v>
      </c>
      <c r="B493" s="19">
        <v>45657</v>
      </c>
      <c r="C493" s="19">
        <v>45657</v>
      </c>
      <c r="D493" s="20">
        <v>0</v>
      </c>
      <c r="E493" s="20">
        <v>0</v>
      </c>
      <c r="F493" s="16" t="s">
        <v>5</v>
      </c>
      <c r="G493" s="21" t="s">
        <v>110</v>
      </c>
      <c r="H493" s="21" t="s">
        <v>110</v>
      </c>
      <c r="I493" s="20">
        <v>0</v>
      </c>
      <c r="J493" s="20">
        <v>0</v>
      </c>
      <c r="K493" s="20">
        <v>0</v>
      </c>
      <c r="L493" s="16" t="s">
        <v>110</v>
      </c>
    </row>
    <row r="494" spans="1:12">
      <c r="A494" s="12" t="s">
        <v>10</v>
      </c>
      <c r="B494" s="17">
        <v>45657</v>
      </c>
      <c r="C494" s="17">
        <v>45657</v>
      </c>
      <c r="D494" s="15">
        <v>0</v>
      </c>
      <c r="E494" s="15">
        <v>0</v>
      </c>
      <c r="F494" s="12" t="s">
        <v>7</v>
      </c>
      <c r="G494" s="18" t="s">
        <v>110</v>
      </c>
      <c r="H494" s="18" t="s">
        <v>110</v>
      </c>
      <c r="I494" s="15">
        <v>0</v>
      </c>
      <c r="J494" s="15">
        <v>0</v>
      </c>
      <c r="K494" s="15">
        <v>0</v>
      </c>
      <c r="L494" s="12" t="s">
        <v>110</v>
      </c>
    </row>
    <row r="495" spans="1:12">
      <c r="A495" s="16" t="s">
        <v>4</v>
      </c>
      <c r="B495" s="19">
        <v>45657</v>
      </c>
      <c r="C495" s="19">
        <v>45657</v>
      </c>
      <c r="D495" s="20">
        <v>0</v>
      </c>
      <c r="E495" s="20">
        <v>0</v>
      </c>
      <c r="F495" s="16" t="s">
        <v>5</v>
      </c>
      <c r="G495" s="21" t="s">
        <v>110</v>
      </c>
      <c r="H495" s="21" t="s">
        <v>110</v>
      </c>
      <c r="I495" s="20">
        <v>0</v>
      </c>
      <c r="J495" s="20">
        <v>0</v>
      </c>
      <c r="K495" s="20">
        <v>0</v>
      </c>
      <c r="L495" s="16" t="s">
        <v>110</v>
      </c>
    </row>
    <row r="496" spans="1:12">
      <c r="A496" s="12" t="s">
        <v>4</v>
      </c>
      <c r="B496" s="17">
        <v>45657</v>
      </c>
      <c r="C496" s="17">
        <v>45657</v>
      </c>
      <c r="D496" s="15">
        <v>0</v>
      </c>
      <c r="E496" s="15">
        <v>0</v>
      </c>
      <c r="F496" s="12" t="s">
        <v>5</v>
      </c>
      <c r="G496" s="18" t="s">
        <v>110</v>
      </c>
      <c r="H496" s="18" t="s">
        <v>110</v>
      </c>
      <c r="I496" s="15">
        <v>0</v>
      </c>
      <c r="J496" s="15">
        <v>0</v>
      </c>
      <c r="K496" s="15">
        <v>0</v>
      </c>
      <c r="L496" s="12" t="s">
        <v>110</v>
      </c>
    </row>
    <row r="497" spans="1:12">
      <c r="A497" s="16" t="s">
        <v>46</v>
      </c>
      <c r="B497" s="19">
        <v>45657</v>
      </c>
      <c r="C497" s="19">
        <v>45657</v>
      </c>
      <c r="D497" s="20">
        <v>0</v>
      </c>
      <c r="E497" s="20">
        <v>0</v>
      </c>
      <c r="F497" s="16" t="s">
        <v>26</v>
      </c>
      <c r="G497" s="21" t="s">
        <v>110</v>
      </c>
      <c r="H497" s="21" t="s">
        <v>110</v>
      </c>
      <c r="I497" s="20">
        <v>0</v>
      </c>
      <c r="J497" s="20">
        <v>0</v>
      </c>
      <c r="K497" s="20">
        <v>0</v>
      </c>
      <c r="L497" s="16" t="s">
        <v>110</v>
      </c>
    </row>
    <row r="498" spans="1:12">
      <c r="A498" s="12" t="s">
        <v>10</v>
      </c>
      <c r="B498" s="17">
        <v>45657</v>
      </c>
      <c r="C498" s="17">
        <v>45657</v>
      </c>
      <c r="D498" s="15">
        <v>0</v>
      </c>
      <c r="E498" s="15">
        <v>0</v>
      </c>
      <c r="F498" s="12" t="s">
        <v>7</v>
      </c>
      <c r="G498" s="18" t="s">
        <v>110</v>
      </c>
      <c r="H498" s="18" t="s">
        <v>110</v>
      </c>
      <c r="I498" s="15">
        <v>0</v>
      </c>
      <c r="J498" s="15">
        <v>0</v>
      </c>
      <c r="K498" s="15">
        <v>0</v>
      </c>
      <c r="L498" s="12" t="s">
        <v>110</v>
      </c>
    </row>
    <row r="499" spans="1:12">
      <c r="A499" s="16" t="s">
        <v>46</v>
      </c>
      <c r="B499" s="19">
        <v>45657</v>
      </c>
      <c r="C499" s="19">
        <v>45657</v>
      </c>
      <c r="D499" s="20">
        <v>0</v>
      </c>
      <c r="E499" s="20">
        <v>0</v>
      </c>
      <c r="F499" s="16" t="s">
        <v>12</v>
      </c>
      <c r="G499" s="21" t="s">
        <v>110</v>
      </c>
      <c r="H499" s="21" t="s">
        <v>110</v>
      </c>
      <c r="I499" s="20">
        <v>0</v>
      </c>
      <c r="J499" s="20">
        <v>0</v>
      </c>
      <c r="K499" s="20">
        <v>0</v>
      </c>
      <c r="L499" s="16" t="s">
        <v>110</v>
      </c>
    </row>
    <row r="500" spans="1:12">
      <c r="A500" s="12" t="s">
        <v>46</v>
      </c>
      <c r="B500" s="17">
        <v>45657</v>
      </c>
      <c r="C500" s="17">
        <v>45657</v>
      </c>
      <c r="D500" s="15">
        <v>0</v>
      </c>
      <c r="E500" s="15">
        <v>0</v>
      </c>
      <c r="F500" s="12" t="s">
        <v>96</v>
      </c>
      <c r="G500" s="18" t="s">
        <v>110</v>
      </c>
      <c r="H500" s="18" t="s">
        <v>110</v>
      </c>
      <c r="I500" s="15">
        <v>0</v>
      </c>
      <c r="J500" s="15">
        <v>0</v>
      </c>
      <c r="K500" s="15">
        <v>0</v>
      </c>
      <c r="L500" s="12" t="s">
        <v>110</v>
      </c>
    </row>
    <row r="501" spans="1:12">
      <c r="A501" s="13" t="s">
        <v>46</v>
      </c>
      <c r="B501" s="27">
        <v>45657</v>
      </c>
      <c r="C501" s="27">
        <v>45657</v>
      </c>
      <c r="D501" s="14">
        <v>0</v>
      </c>
      <c r="E501" s="14">
        <v>0</v>
      </c>
      <c r="F501" s="13" t="s">
        <v>7</v>
      </c>
      <c r="G501" s="28" t="s">
        <v>110</v>
      </c>
      <c r="H501" s="28" t="s">
        <v>110</v>
      </c>
      <c r="I501" s="14">
        <v>0</v>
      </c>
      <c r="J501" s="14">
        <v>0</v>
      </c>
      <c r="K501" s="14">
        <v>0</v>
      </c>
      <c r="L501" s="13" t="s">
        <v>110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01573-EBA0-4070-91D1-7A8D96DA3AD5}">
  <sheetPr codeName="Sheet4">
    <tabColor rgb="FFFF0000"/>
  </sheetPr>
  <dimension ref="A1:AV440"/>
  <sheetViews>
    <sheetView showGridLines="0" zoomScaleNormal="100" workbookViewId="0">
      <selection activeCell="A2" sqref="A2"/>
    </sheetView>
  </sheetViews>
  <sheetFormatPr defaultRowHeight="19.2"/>
  <cols>
    <col min="1" max="1" width="35.3984375" customWidth="1"/>
    <col min="2" max="12" width="15.69921875" customWidth="1"/>
    <col min="13" max="13" width="11.296875" style="43" hidden="1" customWidth="1"/>
    <col min="14" max="14" width="4.19921875" style="44" hidden="1" customWidth="1"/>
    <col min="15" max="15" width="11.296875" style="44" hidden="1" customWidth="1"/>
    <col min="16" max="16" width="15.8984375" style="44" hidden="1" customWidth="1"/>
    <col min="17" max="17" width="34.19921875" style="44" hidden="1" customWidth="1"/>
    <col min="18" max="19" width="14.8984375" style="44" hidden="1" customWidth="1"/>
    <col min="20" max="20" width="7.5" style="44" hidden="1" customWidth="1"/>
    <col min="21" max="21" width="13.59765625" style="44" hidden="1" customWidth="1"/>
    <col min="22" max="22" width="17.59765625" style="44" hidden="1" customWidth="1"/>
    <col min="23" max="23" width="26.5" style="44" hidden="1" customWidth="1"/>
    <col min="24" max="24" width="12.296875" style="44" hidden="1" customWidth="1"/>
    <col min="25" max="25" width="5.5" style="44" hidden="1" customWidth="1"/>
    <col min="26" max="26" width="12.3984375" style="44" hidden="1" customWidth="1"/>
    <col min="27" max="28" width="15.69921875" style="44" hidden="1" customWidth="1"/>
    <col min="29" max="29" width="11.296875" style="43" hidden="1" customWidth="1"/>
    <col min="30" max="30" width="10.8984375" style="44" hidden="1" customWidth="1"/>
    <col min="31" max="31" width="12.3984375" style="44" hidden="1" customWidth="1"/>
    <col min="32" max="32" width="64.69921875" style="44" hidden="1" customWidth="1"/>
    <col min="33" max="33" width="30.796875" style="44" hidden="1" customWidth="1"/>
    <col min="34" max="34" width="7.69921875" style="44" hidden="1" customWidth="1"/>
    <col min="35" max="35" width="13.69921875" style="69" hidden="1" customWidth="1"/>
    <col min="36" max="36" width="15.296875" style="69" hidden="1" customWidth="1"/>
    <col min="37" max="37" width="16.69921875" style="69" hidden="1" customWidth="1"/>
    <col min="38" max="38" width="13.796875" style="49" hidden="1" customWidth="1"/>
    <col min="39" max="39" width="14.09765625" style="49" hidden="1" customWidth="1"/>
    <col min="40" max="40" width="9.5" style="44" hidden="1" customWidth="1"/>
    <col min="41" max="41" width="22.59765625" style="49" customWidth="1"/>
    <col min="42" max="42" width="12.3984375" style="43" customWidth="1"/>
    <col min="43" max="43" width="21.19921875" style="49" customWidth="1"/>
  </cols>
  <sheetData>
    <row r="1" spans="1:48" ht="20.399999999999999">
      <c r="A1" s="41" t="s">
        <v>104</v>
      </c>
      <c r="C1" s="6"/>
      <c r="AC1" s="43" t="s">
        <v>105</v>
      </c>
      <c r="AD1" s="44" t="s">
        <v>106</v>
      </c>
      <c r="AE1" s="44" t="s">
        <v>108</v>
      </c>
      <c r="AF1" s="44" t="s">
        <v>109</v>
      </c>
      <c r="AG1" s="45" t="s">
        <v>3</v>
      </c>
      <c r="AH1" s="46" t="s">
        <v>49</v>
      </c>
      <c r="AI1" s="47" t="s">
        <v>133</v>
      </c>
      <c r="AJ1" s="47" t="s">
        <v>208</v>
      </c>
      <c r="AK1" s="47" t="s">
        <v>134</v>
      </c>
      <c r="AL1" s="46" t="s">
        <v>135</v>
      </c>
      <c r="AM1" s="46" t="s">
        <v>136</v>
      </c>
      <c r="AN1" s="48" t="s">
        <v>137</v>
      </c>
      <c r="AO1" s="49" t="str">
        <f>"Durations for " &amp; selected_agency</f>
        <v>Durations for Public Works</v>
      </c>
      <c r="AP1" s="43" t="s">
        <v>107</v>
      </c>
      <c r="AQ1" s="49" t="str">
        <f>"Daily Volume for " &amp; selected_agency</f>
        <v>Daily Volume for Public Works</v>
      </c>
      <c r="AR1" s="5"/>
      <c r="AU1" s="5"/>
      <c r="AV1" s="5"/>
    </row>
    <row r="2" spans="1:48">
      <c r="A2" s="42" t="s">
        <v>13</v>
      </c>
      <c r="C2" s="6"/>
      <c r="N2" s="50" t="str" cm="1">
        <f t="array" ref="N2:Z2">TRANSPOSE(agency_list)</f>
        <v>311</v>
      </c>
      <c r="O2" s="44" t="str">
        <v>City Council</v>
      </c>
      <c r="P2" s="44" t="str">
        <v>Clerk &amp; Recorder</v>
      </c>
      <c r="Q2" s="44" t="str">
        <v>Community Planning &amp; Development</v>
      </c>
      <c r="R2" s="44" t="str">
        <v>Excise &amp; License</v>
      </c>
      <c r="S2" s="44" t="str">
        <v>External Agency</v>
      </c>
      <c r="T2" s="44" t="str">
        <v>Finance</v>
      </c>
      <c r="U2" s="44" t="str">
        <v>Mayor's Office</v>
      </c>
      <c r="V2" s="44" t="str">
        <v>Parks &amp; Recreation</v>
      </c>
      <c r="W2" s="44" t="str">
        <v>Public Health &amp; Environment</v>
      </c>
      <c r="X2" s="51" t="str">
        <v>Public Works</v>
      </c>
      <c r="Y2" s="52" t="str">
        <v>Safety</v>
      </c>
      <c r="Z2" s="44" t="str">
        <v>Tech Services</v>
      </c>
      <c r="AC2" s="43" cm="1">
        <f t="array" ref="AC2">_xlfn.UNIQUE(_xlfn._xlws.SORT(Slice_311[Created Date]))</f>
        <v>45657</v>
      </c>
      <c r="AD2" s="49">
        <v>7</v>
      </c>
      <c r="AE2" s="49">
        <v>1</v>
      </c>
      <c r="AF2" s="44" t="str" cm="1">
        <f t="array" ref="AF2">"Duration Distribution — " &amp;
selected_agency &amp;
" (" &amp; window_size &amp; "-day window) " &amp;
TEXT(window_start,"mmm d") &amp;
" to " &amp;
TEXT(window_end,"mmm d")</f>
        <v>Duration Distribution — Public Works (7-day window) Dec 31 to Dec 31</v>
      </c>
      <c r="AG2" s="53" t="str" cm="1">
        <f t="array" ref="AG2:AG14">_xlfn._xlws.SORT(_xlfn.UNIQUE(Slice_311[Agency]))</f>
        <v>311</v>
      </c>
      <c r="AH2" s="54" cm="1">
        <f t="array" ref="AH2:AH14">_xlfn.MAP(agency_list, _xlfn.LAMBDA(_xlpm.a,
    _xlfn.LET(
        _xlpm.agencies, Slice_311[Agency],
        _xlpm.durations, Slice_311[Duration],
        _xlpm.dates, Slice_311[Created Date],
        _xlpm.start, window_start,
        _xlpm.end, window_end,
        _xlpm.empty, _xlfn._xlws.FILTER({1}, FALSE),
        _xlpm.rows, _xlfn._xlws.FILTER(
            _xlfn.SEQUENCE(ROWS(_xlpm.agencies)),
            (_xlpm.agencies = _xlpm.a) *
            (_xlpm.dates &gt;= _xlpm.start) *
            (_xlpm.dates &lt;= _xlpm.end),
            _xlpm.empty
        ),
        _xlpm.durs, INDEX(_xlpm.durations, _xlpm.rows),
        _xlpm.d, _xlfn._xlws.FILTER(_xlpm.durs, ISNUMBER(_xlpm.durs), _xlpm.empty),
        COUNT(_xlpm.d)
    )
))</f>
        <v>45</v>
      </c>
      <c r="AI2" s="55" cm="1">
        <f t="array" ref="AI2:AI14">_xlfn.MAP(agency_list, _xlfn.LAMBDA(_xlpm.a,
    _xlfn.LET(
        _xlpm.agencies, Slice_311[Agency],
        _xlpm.durations, Slice_311[Duration],
        _xlpm.dates, Slice_311[Created Date],
        _xlpm.start, window_start,
        _xlpm.end, window_end,
        _xlpm.empty, _xlfn._xlws.FILTER({1}, FALSE),
        _xlpm.rows, _xlfn._xlws.FILTER(
            _xlfn.SEQUENCE(ROWS(_xlpm.agencies)),
            (_xlpm.agencies = _xlpm.a) *
            (_xlpm.dates &gt;= _xlpm.start) *
            (_xlpm.dates &lt;= _xlpm.end),
            _xlpm.empty
        ),
        _xlpm.durs, INDEX(_xlpm.durations, _xlpm.rows),
        _xlpm.d, _xlfn._xlws.FILTER(_xlpm.durs, ISNUMBER(_xlpm.durs), _xlpm.empty),
        IF(COUNT(_xlpm.d)=0, NA(), AVERAGE(_xlpm.d))
    )
))</f>
        <v>0.28888888888888886</v>
      </c>
      <c r="AJ2" s="55" cm="1">
        <f t="array" ref="AJ2:AJ14">_xlfn.MAP(agency_list, _xlfn.LAMBDA(_xlpm.a,
    _xlfn.LET(
        _xlpm.agencies, Slice_311[Agency],
        _xlpm.durations, Slice_311[Duration],
        _xlpm.dates, Slice_311[Created Date],
        _xlpm.start, window_start,
        _xlpm.end, window_end,
        _xlpm.empty, _xlfn._xlws.FILTER({1}, FALSE),
        _xlpm.rows, _xlfn._xlws.FILTER(
            _xlfn.SEQUENCE(ROWS(_xlpm.agencies)),
            (_xlpm.agencies = _xlpm.a) *
            (_xlpm.dates &gt;= _xlpm.start) *
            (_xlpm.dates &lt;= _xlpm.end),
            _xlpm.empty
        ),
        _xlpm.durs, INDEX(_xlpm.durations, _xlpm.rows),
        _xlpm.d, _xlfn._xlws.FILTER(_xlpm.durs, ISNUMBER(_xlpm.durs), _xlpm.empty),
        IF(COUNT(_xlpm.d)=0, NA(), MEDIAN(_xlpm.d))
    )
))</f>
        <v>0</v>
      </c>
      <c r="AK2" s="55" cm="1">
        <f t="array" ref="AK2:AK14">_xlfn.MAP(agency_list, _xlfn.LAMBDA(_xlpm.a,
    _xlfn.LET(
        _xlpm.agencies, Slice_311[Agency],
        _xlpm.durations, Slice_311[Duration],
        _xlpm.dates, Slice_311[Created Date],
        _xlpm.start, window_start,
        _xlpm.end, window_end,
        _xlpm.empty, _xlfn._xlws.FILTER({1}, FALSE),
        _xlpm.rows, _xlfn._xlws.FILTER(
            _xlfn.SEQUENCE(ROWS(_xlpm.agencies)),
            (_xlpm.agencies = _xlpm.a) *
            (_xlpm.dates &gt;= _xlpm.start) *
            (_xlpm.dates &lt;= _xlpm.end),
            _xlpm.empty
        ),
        _xlpm.durs, INDEX(_xlpm.durations, _xlpm.rows),
        _xlpm.d, _xlfn._xlws.FILTER(_xlpm.durs, ISNUMBER(_xlpm.durs), _xlpm.empty),
        IF(COUNT(_xlpm.d) &lt; 2, NA(), _xlfn.STDEV.S(_xlpm.d))
    )
))</f>
        <v>1.2902117906167438</v>
      </c>
      <c r="AL2" s="56" cm="1">
        <f t="array" ref="AL2:AL14">_xlfn.MAP(agency_list, _xlfn.LAMBDA(_xlpm.a,
    _xlfn.LET(
        _xlpm.agencies, Slice_311[Agency],
        _xlpm.durations, Slice_311[Duration],
        _xlpm.dates, Slice_311[Created Date],
        _xlpm.start, window_start,
        _xlpm.end, window_end,
        _xlpm.empty, _xlfn._xlws.FILTER({1}, FALSE),
        _xlpm.rows, _xlfn._xlws.FILTER(
            _xlfn.SEQUENCE(ROWS(_xlpm.agencies)),
            (_xlpm.agencies = _xlpm.a) *
            (_xlpm.dates &gt;= _xlpm.start) *
            (_xlpm.dates &lt;= _xlpm.end),
            _xlpm.empty
        ),
        _xlpm.durs, INDEX(_xlpm.durations, _xlpm.rows),
        _xlpm.d, _xlfn._xlws.FILTER(_xlpm.durs, ISNUMBER(_xlpm.durs), _xlpm.empty),
        IF(COUNT(_xlpm.d)=0, NA(), MIN(_xlpm.d))
    )
))</f>
        <v>0</v>
      </c>
      <c r="AM2" s="56" cm="1">
        <f t="array" ref="AM2:AM14">_xlfn.MAP(agency_list, _xlfn.LAMBDA(_xlpm.a,
    _xlfn.LET(
        _xlpm.agencies, Slice_311[Agency],
        _xlpm.durations, Slice_311[Duration],
        _xlpm.dates, Slice_311[Created Date],
        _xlpm.start, window_start,
        _xlpm.end, window_end,
        _xlpm.empty, _xlfn._xlws.FILTER({1}, FALSE),
        _xlpm.rows, _xlfn._xlws.FILTER(
            _xlfn.SEQUENCE(ROWS(_xlpm.agencies)),
            (_xlpm.agencies = _xlpm.a) *
            (_xlpm.dates &gt;= _xlpm.start) *
            (_xlpm.dates &lt;= _xlpm.end),
            _xlpm.empty
        ),
        _xlpm.durs, INDEX(_xlpm.durations, _xlpm.rows),
        _xlpm.d, _xlfn._xlws.FILTER(_xlpm.durs, ISNUMBER(_xlpm.durs), _xlpm.empty),
        IF(COUNT(_xlpm.d)=0, NA(), MAX(_xlpm.d))
    )
))</f>
        <v>8</v>
      </c>
      <c r="AN2" s="57" t="str" cm="1">
        <f t="array" ref="AN2:AN14">_xlfn.MAP(
    agency_list,
    agency_count,
    agency_mean,
    agency_std,
    agency_max,
    _xlfn.LAMBDA(_xlpm.a,_xlpm.c,_xlpm.m,_xlpm.s,_xlpm.x,
        IF(
            _xlpm.c &lt; 2,
            "N/A",
            IF(
                AND(_xlpm.m &lt; 10, _xlpm.s &lt; 20, _xlpm.x &lt; 100),
                "Fast Cycle",
                IF(
                    AND(
                        _xlpm.m &gt;= 10, _xlpm.m &lt;= 30,
                        _xlpm.s &gt;= 20, _xlpm.s &lt;= 60,
                        _xlpm.x &gt;= 100, _xlpm.x &lt;= 300
                    ),
                    "Moderate Cycle",
                    "Long Tail"
                )
            )
        )
    )
)</f>
        <v>Fast Cycle</v>
      </c>
      <c r="AO2" s="49" cm="1">
        <f t="array" ref="AO2:AO67">_xlfn.LET(
    _xlpm.agencies, Slice_311[Agency],
    _xlpm.durations, Slice_311[Duration],
    _xlpm.dates, Slice_311[Created Date],
    _xlpm.selected, selected_agency,
    _xlpm.start, window_start,
    _xlpm.end, window_end,
    _xlpm.rows, _xlfn._xlws.FILTER(
        _xlfn.SEQUENCE(ROWS(_xlpm.agencies)),
        (_xlpm.agencies = _xlpm.selected) *
        (_xlpm.dates &gt;= _xlpm.start) *
        (_xlpm.dates &lt;= _xlpm.end),
        NA()
    ),
    _xlpm.durs, INDEX(_xlpm.durations, _xlpm.rows),
    _xlfn._xlws.FILTER(_xlpm.durs, ISNUMBER(_xlpm.durs), "")
)</f>
        <v>2</v>
      </c>
      <c r="AP2" s="43" cm="1">
        <f t="array" ref="AP2">_xlfn.LET(
    _xlpm.dates, all_dates,
    _xlpm.start, scroll_position,
    _xlpm.window, window_size,
    _xlfn.TAKE(_xlfn.DROP(_xlpm.dates, _xlpm.start - 1), _xlpm.window)
)</f>
        <v>45657</v>
      </c>
      <c r="AQ2" s="49" cm="1">
        <f t="array" ref="AQ2">_xlfn.LET(
    _xlpm.agencies, Slice_311[Agency],
    _xlpm.dates, Slice_311[Created Date],
    _xlpm.selected, selected_agency,
    _xlpm.windowDates, window_dates,
    _xlfn.MAP(
        _xlpm.windowDates,
        _xlfn.LAMBDA(_xlpm.d,
            COUNTIFS(
                _xlpm.agencies, _xlpm.selected,
                _xlpm.dates, _xlpm.d
            )
        )
    )
)</f>
        <v>67</v>
      </c>
    </row>
    <row r="3" spans="1:48">
      <c r="C3" s="6"/>
      <c r="M3" s="43" cm="1">
        <f t="array" ref="M3:M9">_xlfn.SEQUENCE(window_size,1,INDEX(window_dates,1),1)</f>
        <v>45657</v>
      </c>
      <c r="N3" s="44" cm="1">
        <f t="array" ref="N3:Z9">COUNTIFS(
    Slice_311[Agency],agencies_cols,
     Slice_311[Created Date],  dates_rows)</f>
        <v>47</v>
      </c>
      <c r="O3" s="44">
        <v>9</v>
      </c>
      <c r="P3" s="44">
        <v>14</v>
      </c>
      <c r="Q3" s="44">
        <v>14</v>
      </c>
      <c r="R3" s="44">
        <v>58</v>
      </c>
      <c r="S3" s="44">
        <v>14</v>
      </c>
      <c r="T3" s="44">
        <v>86</v>
      </c>
      <c r="U3" s="44">
        <v>8</v>
      </c>
      <c r="V3" s="44">
        <v>2</v>
      </c>
      <c r="W3" s="44">
        <v>43</v>
      </c>
      <c r="X3" s="51">
        <v>67</v>
      </c>
      <c r="Y3" s="52">
        <v>137</v>
      </c>
      <c r="Z3" s="44">
        <v>1</v>
      </c>
      <c r="AF3" s="44" t="str" cm="1">
        <f t="array" ref="AF3">"Duration Spread — " &amp;
selected_agency &amp;
" (" &amp; window_size &amp; "-day window) " &amp;
TEXT(window_start,"mmm d") &amp;
" to " &amp;
TEXT(window_end,"mmm d")</f>
        <v>Duration Spread — Public Works (7-day window) Dec 31 to Dec 31</v>
      </c>
      <c r="AG3" s="58" t="str">
        <v>City Council</v>
      </c>
      <c r="AH3" s="59">
        <v>0</v>
      </c>
      <c r="AI3" s="60" t="e">
        <v>#N/A</v>
      </c>
      <c r="AJ3" s="60" t="e">
        <v>#N/A</v>
      </c>
      <c r="AK3" s="60" t="e">
        <v>#N/A</v>
      </c>
      <c r="AL3" s="61" t="e">
        <v>#N/A</v>
      </c>
      <c r="AM3" s="61" t="e">
        <v>#N/A</v>
      </c>
      <c r="AN3" s="62" t="str">
        <v>N/A</v>
      </c>
      <c r="AO3" s="49">
        <v>0</v>
      </c>
    </row>
    <row r="4" spans="1:48">
      <c r="C4" s="6"/>
      <c r="M4" s="43">
        <v>45658</v>
      </c>
      <c r="N4" s="44">
        <v>0</v>
      </c>
      <c r="O4" s="44">
        <v>0</v>
      </c>
      <c r="P4" s="44">
        <v>0</v>
      </c>
      <c r="Q4" s="44">
        <v>0</v>
      </c>
      <c r="R4" s="44">
        <v>0</v>
      </c>
      <c r="S4" s="44">
        <v>0</v>
      </c>
      <c r="T4" s="44">
        <v>0</v>
      </c>
      <c r="U4" s="44">
        <v>0</v>
      </c>
      <c r="V4" s="44">
        <v>0</v>
      </c>
      <c r="W4" s="44">
        <v>0</v>
      </c>
      <c r="X4" s="51">
        <v>0</v>
      </c>
      <c r="Y4" s="52">
        <v>0</v>
      </c>
      <c r="Z4" s="44">
        <v>0</v>
      </c>
      <c r="AF4" s="44" t="str" cm="1">
        <f t="array" ref="AF4">"Daily Case Volume — " &amp;
selected_agency &amp;
" (" &amp; window_size &amp; "-day window) " &amp;
TEXT(window_start,"mmm d") &amp;
" to " &amp;
TEXT(window_end,"mmm d")</f>
        <v>Daily Case Volume — Public Works (7-day window) Dec 31 to Dec 31</v>
      </c>
      <c r="AG4" s="63" t="str">
        <v>Clerk &amp; Recorder</v>
      </c>
      <c r="AH4" s="54">
        <v>14</v>
      </c>
      <c r="AI4" s="55">
        <v>0.2857142857142857</v>
      </c>
      <c r="AJ4" s="55">
        <v>0</v>
      </c>
      <c r="AK4" s="55">
        <v>0.72627303920256292</v>
      </c>
      <c r="AL4" s="56">
        <v>0</v>
      </c>
      <c r="AM4" s="56">
        <v>2</v>
      </c>
      <c r="AN4" s="57" t="str">
        <v>Fast Cycle</v>
      </c>
      <c r="AO4" s="49">
        <v>0</v>
      </c>
    </row>
    <row r="5" spans="1:48">
      <c r="M5" s="43">
        <v>45659</v>
      </c>
      <c r="N5" s="44">
        <v>0</v>
      </c>
      <c r="O5" s="44">
        <v>0</v>
      </c>
      <c r="P5" s="44">
        <v>0</v>
      </c>
      <c r="Q5" s="44">
        <v>0</v>
      </c>
      <c r="R5" s="44">
        <v>0</v>
      </c>
      <c r="S5" s="44">
        <v>0</v>
      </c>
      <c r="T5" s="44">
        <v>0</v>
      </c>
      <c r="U5" s="44">
        <v>0</v>
      </c>
      <c r="V5" s="44">
        <v>0</v>
      </c>
      <c r="W5" s="44">
        <v>0</v>
      </c>
      <c r="X5" s="44">
        <v>0</v>
      </c>
      <c r="Y5" s="44">
        <v>0</v>
      </c>
      <c r="Z5" s="44">
        <v>0</v>
      </c>
      <c r="AF5" s="44" t="str" cm="1">
        <f t="array" ref="AF5">"Daily Volume by Agency —  (" &amp; window_size &amp; "-day window) " &amp;
 TEXT(window_start, "mmm d") &amp; " to " &amp; TEXT(window_end, "mmm d")</f>
        <v>Daily Volume by Agency —  (7-day window) Dec 31 to Dec 31</v>
      </c>
      <c r="AG5" s="58" t="str">
        <v>Community Planning &amp; Development</v>
      </c>
      <c r="AH5" s="59">
        <v>11</v>
      </c>
      <c r="AI5" s="60">
        <v>0.18181818181818182</v>
      </c>
      <c r="AJ5" s="60">
        <v>0</v>
      </c>
      <c r="AK5" s="60">
        <v>0.60302268915552726</v>
      </c>
      <c r="AL5" s="61">
        <v>0</v>
      </c>
      <c r="AM5" s="61">
        <v>2</v>
      </c>
      <c r="AN5" s="62" t="str">
        <v>Fast Cycle</v>
      </c>
      <c r="AO5" s="49">
        <v>0</v>
      </c>
    </row>
    <row r="6" spans="1:48">
      <c r="M6" s="43">
        <v>45660</v>
      </c>
      <c r="N6" s="44">
        <v>0</v>
      </c>
      <c r="O6" s="44">
        <v>0</v>
      </c>
      <c r="P6" s="44">
        <v>0</v>
      </c>
      <c r="Q6" s="44">
        <v>0</v>
      </c>
      <c r="R6" s="44">
        <v>0</v>
      </c>
      <c r="S6" s="44">
        <v>0</v>
      </c>
      <c r="T6" s="44">
        <v>0</v>
      </c>
      <c r="U6" s="44">
        <v>0</v>
      </c>
      <c r="V6" s="44">
        <v>0</v>
      </c>
      <c r="W6" s="44">
        <v>0</v>
      </c>
      <c r="X6" s="44">
        <v>0</v>
      </c>
      <c r="Y6" s="44">
        <v>0</v>
      </c>
      <c r="Z6" s="44">
        <v>0</v>
      </c>
      <c r="AG6" s="63" t="str">
        <v>Excise &amp; License</v>
      </c>
      <c r="AH6" s="54">
        <v>58</v>
      </c>
      <c r="AI6" s="55">
        <v>6.3103448275862073</v>
      </c>
      <c r="AJ6" s="55">
        <v>2.5</v>
      </c>
      <c r="AK6" s="55">
        <v>7.2528443217954734</v>
      </c>
      <c r="AL6" s="56">
        <v>0</v>
      </c>
      <c r="AM6" s="56">
        <v>21</v>
      </c>
      <c r="AN6" s="57" t="str">
        <v>Fast Cycle</v>
      </c>
      <c r="AO6" s="49">
        <v>2</v>
      </c>
    </row>
    <row r="7" spans="1:48">
      <c r="M7" s="43">
        <v>45661</v>
      </c>
      <c r="N7" s="44">
        <v>0</v>
      </c>
      <c r="O7" s="44">
        <v>0</v>
      </c>
      <c r="P7" s="44">
        <v>0</v>
      </c>
      <c r="Q7" s="44">
        <v>0</v>
      </c>
      <c r="R7" s="44">
        <v>0</v>
      </c>
      <c r="S7" s="44">
        <v>0</v>
      </c>
      <c r="T7" s="44">
        <v>0</v>
      </c>
      <c r="U7" s="44">
        <v>0</v>
      </c>
      <c r="V7" s="44">
        <v>0</v>
      </c>
      <c r="W7" s="44">
        <v>0</v>
      </c>
      <c r="X7" s="44">
        <v>0</v>
      </c>
      <c r="Y7" s="44">
        <v>0</v>
      </c>
      <c r="Z7" s="44">
        <v>0</v>
      </c>
      <c r="AG7" s="58" t="str">
        <v>External Agency</v>
      </c>
      <c r="AH7" s="59">
        <v>14</v>
      </c>
      <c r="AI7" s="60">
        <v>0</v>
      </c>
      <c r="AJ7" s="60">
        <v>0</v>
      </c>
      <c r="AK7" s="60">
        <v>0</v>
      </c>
      <c r="AL7" s="61">
        <v>0</v>
      </c>
      <c r="AM7" s="61">
        <v>0</v>
      </c>
      <c r="AN7" s="62" t="str">
        <v>Fast Cycle</v>
      </c>
      <c r="AO7" s="49">
        <v>0</v>
      </c>
    </row>
    <row r="8" spans="1:48">
      <c r="M8" s="43">
        <v>45662</v>
      </c>
      <c r="N8" s="44">
        <v>0</v>
      </c>
      <c r="O8" s="44">
        <v>0</v>
      </c>
      <c r="P8" s="44">
        <v>0</v>
      </c>
      <c r="Q8" s="44">
        <v>0</v>
      </c>
      <c r="R8" s="44">
        <v>0</v>
      </c>
      <c r="S8" s="44">
        <v>0</v>
      </c>
      <c r="T8" s="44">
        <v>0</v>
      </c>
      <c r="U8" s="44">
        <v>0</v>
      </c>
      <c r="V8" s="44">
        <v>0</v>
      </c>
      <c r="W8" s="44">
        <v>0</v>
      </c>
      <c r="X8" s="44">
        <v>0</v>
      </c>
      <c r="Y8" s="44">
        <v>0</v>
      </c>
      <c r="Z8" s="44">
        <v>0</v>
      </c>
      <c r="AG8" s="63" t="str">
        <v>Finance</v>
      </c>
      <c r="AH8" s="54">
        <v>86</v>
      </c>
      <c r="AI8" s="55">
        <v>0.16279069767441862</v>
      </c>
      <c r="AJ8" s="55">
        <v>0</v>
      </c>
      <c r="AK8" s="55">
        <v>0.96844891287750701</v>
      </c>
      <c r="AL8" s="56">
        <v>0</v>
      </c>
      <c r="AM8" s="56">
        <v>8</v>
      </c>
      <c r="AN8" s="57" t="str">
        <v>Fast Cycle</v>
      </c>
      <c r="AO8" s="49">
        <v>0</v>
      </c>
    </row>
    <row r="9" spans="1:48">
      <c r="M9" s="43">
        <v>45663</v>
      </c>
      <c r="N9" s="44">
        <v>0</v>
      </c>
      <c r="O9" s="44">
        <v>0</v>
      </c>
      <c r="P9" s="44">
        <v>0</v>
      </c>
      <c r="Q9" s="44">
        <v>0</v>
      </c>
      <c r="R9" s="44">
        <v>0</v>
      </c>
      <c r="S9" s="44">
        <v>0</v>
      </c>
      <c r="T9" s="44">
        <v>0</v>
      </c>
      <c r="U9" s="44">
        <v>0</v>
      </c>
      <c r="V9" s="44">
        <v>0</v>
      </c>
      <c r="W9" s="44">
        <v>0</v>
      </c>
      <c r="X9" s="44">
        <v>0</v>
      </c>
      <c r="Y9" s="44">
        <v>0</v>
      </c>
      <c r="Z9" s="44">
        <v>0</v>
      </c>
      <c r="AG9" s="58" t="str">
        <v>Mayor's Office</v>
      </c>
      <c r="AH9" s="59">
        <v>0</v>
      </c>
      <c r="AI9" s="60" t="e">
        <v>#N/A</v>
      </c>
      <c r="AJ9" s="60" t="e">
        <v>#N/A</v>
      </c>
      <c r="AK9" s="60" t="e">
        <v>#N/A</v>
      </c>
      <c r="AL9" s="61" t="e">
        <v>#N/A</v>
      </c>
      <c r="AM9" s="61" t="e">
        <v>#N/A</v>
      </c>
      <c r="AN9" s="62" t="str">
        <v>N/A</v>
      </c>
      <c r="AO9" s="49">
        <v>31</v>
      </c>
    </row>
    <row r="10" spans="1:48">
      <c r="AG10" s="63" t="str">
        <v>Parks &amp; Recreation</v>
      </c>
      <c r="AH10" s="54">
        <v>2</v>
      </c>
      <c r="AI10" s="55">
        <v>0</v>
      </c>
      <c r="AJ10" s="55">
        <v>0</v>
      </c>
      <c r="AK10" s="55">
        <v>0</v>
      </c>
      <c r="AL10" s="56">
        <v>0</v>
      </c>
      <c r="AM10" s="56">
        <v>0</v>
      </c>
      <c r="AN10" s="57" t="str">
        <v>Fast Cycle</v>
      </c>
      <c r="AO10" s="49">
        <v>0</v>
      </c>
    </row>
    <row r="11" spans="1:48">
      <c r="AG11" s="58" t="str">
        <v>Public Health &amp; Environment</v>
      </c>
      <c r="AH11" s="59">
        <v>43</v>
      </c>
      <c r="AI11" s="60">
        <v>0.7441860465116279</v>
      </c>
      <c r="AJ11" s="60">
        <v>0</v>
      </c>
      <c r="AK11" s="60">
        <v>3.9945976807720243</v>
      </c>
      <c r="AL11" s="61">
        <v>0</v>
      </c>
      <c r="AM11" s="61">
        <v>26</v>
      </c>
      <c r="AN11" s="62" t="str">
        <v>Fast Cycle</v>
      </c>
      <c r="AO11" s="49">
        <v>10</v>
      </c>
    </row>
    <row r="12" spans="1:48">
      <c r="AG12" s="63" t="str">
        <v>Public Works</v>
      </c>
      <c r="AH12" s="54">
        <v>66</v>
      </c>
      <c r="AI12" s="55">
        <v>1.9545454545454546</v>
      </c>
      <c r="AJ12" s="55">
        <v>0</v>
      </c>
      <c r="AK12" s="55">
        <v>6.4245486358829265</v>
      </c>
      <c r="AL12" s="56">
        <v>0</v>
      </c>
      <c r="AM12" s="56">
        <v>31</v>
      </c>
      <c r="AN12" s="57" t="str">
        <v>Fast Cycle</v>
      </c>
      <c r="AO12" s="49">
        <v>30</v>
      </c>
    </row>
    <row r="13" spans="1:48">
      <c r="AG13" s="58" t="str">
        <v>Safety</v>
      </c>
      <c r="AH13" s="59">
        <v>126</v>
      </c>
      <c r="AI13" s="60">
        <v>0.11904761904761904</v>
      </c>
      <c r="AJ13" s="60">
        <v>0</v>
      </c>
      <c r="AK13" s="60">
        <v>0.39206413469518697</v>
      </c>
      <c r="AL13" s="61">
        <v>0</v>
      </c>
      <c r="AM13" s="61">
        <v>3</v>
      </c>
      <c r="AN13" s="62" t="str">
        <v>Fast Cycle</v>
      </c>
      <c r="AO13" s="49">
        <v>0</v>
      </c>
    </row>
    <row r="14" spans="1:48">
      <c r="AG14" s="63" t="str">
        <v>Tech Services</v>
      </c>
      <c r="AH14" s="54">
        <v>1</v>
      </c>
      <c r="AI14" s="55">
        <v>0</v>
      </c>
      <c r="AJ14" s="55">
        <v>0</v>
      </c>
      <c r="AK14" s="55" t="e">
        <v>#N/A</v>
      </c>
      <c r="AL14" s="56">
        <v>0</v>
      </c>
      <c r="AM14" s="56">
        <v>0</v>
      </c>
      <c r="AN14" s="57" t="str">
        <v>N/A</v>
      </c>
      <c r="AO14" s="49">
        <v>0</v>
      </c>
    </row>
    <row r="15" spans="1:48">
      <c r="AG15" s="58"/>
      <c r="AH15" s="59"/>
      <c r="AI15" s="60"/>
      <c r="AJ15" s="60"/>
      <c r="AK15" s="60"/>
      <c r="AL15" s="61"/>
      <c r="AM15" s="61"/>
      <c r="AN15" s="62"/>
      <c r="AO15" s="49">
        <v>0</v>
      </c>
    </row>
    <row r="16" spans="1:48">
      <c r="AG16" s="64"/>
      <c r="AH16" s="65"/>
      <c r="AI16" s="66"/>
      <c r="AJ16" s="66"/>
      <c r="AK16" s="66"/>
      <c r="AL16" s="67"/>
      <c r="AM16" s="67"/>
      <c r="AN16" s="68"/>
      <c r="AO16" s="49">
        <v>0</v>
      </c>
    </row>
    <row r="17" spans="2:41">
      <c r="AO17" s="49">
        <v>0</v>
      </c>
    </row>
    <row r="18" spans="2:41">
      <c r="AO18" s="49">
        <v>0</v>
      </c>
    </row>
    <row r="19" spans="2:41">
      <c r="AO19" s="49">
        <v>0</v>
      </c>
    </row>
    <row r="20" spans="2:41">
      <c r="AF20" s="51"/>
      <c r="AO20" s="49">
        <v>6</v>
      </c>
    </row>
    <row r="21" spans="2:41">
      <c r="B21" s="71" t="s">
        <v>102</v>
      </c>
      <c r="C21" s="72" t="s">
        <v>103</v>
      </c>
      <c r="AO21" s="49">
        <v>0</v>
      </c>
    </row>
    <row r="22" spans="2:41">
      <c r="B22" s="70" t="s">
        <v>97</v>
      </c>
      <c r="C22" s="69">
        <f>_xlfn.LET(
    _xlpm.d, durations_filtered,
    IF(COUNT(_xlpm.d)=0, NA(), AVERAGE(_xlpm.d))
)</f>
        <v>2</v>
      </c>
      <c r="AO22" s="49">
        <v>2</v>
      </c>
    </row>
    <row r="23" spans="2:41">
      <c r="B23" s="70" t="s">
        <v>98</v>
      </c>
      <c r="C23" s="49">
        <f>_xlfn.LET(
    _xlpm.d, durations_filtered,
    IF(COUNT(_xlpm.d)=0, NA(), MEDIAN(_xlpm.d))
)</f>
        <v>2</v>
      </c>
      <c r="AO23" s="49">
        <v>0</v>
      </c>
    </row>
    <row r="24" spans="2:41">
      <c r="B24" s="70" t="s">
        <v>99</v>
      </c>
      <c r="C24" s="49">
        <f>MAX(durations)</f>
        <v>31</v>
      </c>
      <c r="AO24" s="49">
        <v>0</v>
      </c>
    </row>
    <row r="25" spans="2:41">
      <c r="B25" s="70" t="s">
        <v>100</v>
      </c>
      <c r="C25" s="49">
        <f>COUNT(durations)</f>
        <v>66</v>
      </c>
      <c r="AO25" s="49">
        <v>0</v>
      </c>
    </row>
    <row r="26" spans="2:41">
      <c r="B26" s="70" t="s">
        <v>101</v>
      </c>
      <c r="C26" s="73" cm="1">
        <f t="array" ref="C26">_xlfn.LET(
    _xlpm.agencies, Slice_311[Agency],
    _xlpm.isopen_raw, Slice_311[Is Open],
    _xlpm.isopen, --_xlpm.isopen_raw,
    _xlpm.selected, selected_agency,
    _xlpm.filtered, _xlfn._xlws.FILTER(_xlpm.isopen, _xlpm.agencies = _xlpm.selected),
    IFERROR(AVERAGE(_xlpm.filtered), 0)
)</f>
        <v>1.4925373134328358E-2</v>
      </c>
      <c r="AO26" s="49">
        <v>0</v>
      </c>
    </row>
    <row r="27" spans="2:41">
      <c r="AO27" s="49">
        <v>0</v>
      </c>
    </row>
    <row r="28" spans="2:41">
      <c r="AO28" s="49">
        <v>2</v>
      </c>
    </row>
    <row r="29" spans="2:41">
      <c r="AO29" s="49">
        <v>2</v>
      </c>
    </row>
    <row r="30" spans="2:41">
      <c r="AO30" s="49">
        <v>0</v>
      </c>
    </row>
    <row r="31" spans="2:41">
      <c r="AO31" s="49">
        <v>0</v>
      </c>
    </row>
    <row r="32" spans="2:41">
      <c r="AO32" s="49">
        <v>0</v>
      </c>
    </row>
    <row r="33" spans="3:41">
      <c r="AO33" s="49">
        <v>0</v>
      </c>
    </row>
    <row r="34" spans="3:41">
      <c r="AO34" s="49">
        <v>0</v>
      </c>
    </row>
    <row r="35" spans="3:41">
      <c r="AO35" s="49">
        <v>0</v>
      </c>
    </row>
    <row r="36" spans="3:41">
      <c r="AO36" s="49">
        <v>0</v>
      </c>
    </row>
    <row r="37" spans="3:41">
      <c r="AO37" s="49">
        <v>0</v>
      </c>
    </row>
    <row r="38" spans="3:41">
      <c r="AO38" s="49">
        <v>0</v>
      </c>
    </row>
    <row r="39" spans="3:41">
      <c r="AO39" s="49">
        <v>0</v>
      </c>
    </row>
    <row r="40" spans="3:41">
      <c r="AO40" s="49">
        <v>2</v>
      </c>
    </row>
    <row r="41" spans="3:41">
      <c r="AO41" s="49">
        <v>0</v>
      </c>
    </row>
    <row r="42" spans="3:41">
      <c r="AO42" s="49">
        <v>3</v>
      </c>
    </row>
    <row r="43" spans="3:41">
      <c r="AO43" s="49">
        <v>0</v>
      </c>
    </row>
    <row r="44" spans="3:41">
      <c r="AO44" s="49">
        <v>0</v>
      </c>
    </row>
    <row r="45" spans="3:41">
      <c r="AO45" s="49">
        <v>0</v>
      </c>
    </row>
    <row r="46" spans="3:41">
      <c r="AO46" s="49">
        <v>0</v>
      </c>
    </row>
    <row r="47" spans="3:41">
      <c r="C47" s="74" t="s">
        <v>131</v>
      </c>
      <c r="E47" s="76" t="s">
        <v>138</v>
      </c>
      <c r="K47" s="75" t="s">
        <v>132</v>
      </c>
      <c r="AO47" s="49">
        <v>0</v>
      </c>
    </row>
    <row r="48" spans="3:41">
      <c r="C48" s="51">
        <f>window_size</f>
        <v>7</v>
      </c>
      <c r="E48" s="51">
        <f>scroll_position</f>
        <v>1</v>
      </c>
      <c r="K48" s="43" cm="1">
        <f t="array" ref="K48">window_end</f>
        <v>45657</v>
      </c>
      <c r="AO48" s="49">
        <v>29</v>
      </c>
    </row>
    <row r="49" spans="41:41">
      <c r="AO49" s="49">
        <v>0</v>
      </c>
    </row>
    <row r="50" spans="41:41">
      <c r="AO50" s="49">
        <v>0</v>
      </c>
    </row>
    <row r="51" spans="41:41">
      <c r="AO51" s="49">
        <v>0</v>
      </c>
    </row>
    <row r="52" spans="41:41">
      <c r="AO52" s="49">
        <v>0</v>
      </c>
    </row>
    <row r="53" spans="41:41">
      <c r="AO53" s="49">
        <v>0</v>
      </c>
    </row>
    <row r="54" spans="41:41">
      <c r="AO54" s="49">
        <v>0</v>
      </c>
    </row>
    <row r="55" spans="41:41">
      <c r="AO55" s="49">
        <v>0</v>
      </c>
    </row>
    <row r="56" spans="41:41">
      <c r="AO56" s="49">
        <v>0</v>
      </c>
    </row>
    <row r="57" spans="41:41">
      <c r="AO57" s="49">
        <v>8</v>
      </c>
    </row>
    <row r="58" spans="41:41">
      <c r="AO58" s="49">
        <v>0</v>
      </c>
    </row>
    <row r="59" spans="41:41">
      <c r="AO59" s="49">
        <v>0</v>
      </c>
    </row>
    <row r="60" spans="41:41">
      <c r="AO60" s="49">
        <v>0</v>
      </c>
    </row>
    <row r="61" spans="41:41">
      <c r="AO61" s="49">
        <v>0</v>
      </c>
    </row>
    <row r="62" spans="41:41">
      <c r="AO62" s="49">
        <v>0</v>
      </c>
    </row>
    <row r="63" spans="41:41">
      <c r="AO63" s="49">
        <v>0</v>
      </c>
    </row>
    <row r="64" spans="41:41">
      <c r="AO64" s="49">
        <v>0</v>
      </c>
    </row>
    <row r="65" spans="5:41">
      <c r="AO65" s="49">
        <v>0</v>
      </c>
    </row>
    <row r="66" spans="5:41">
      <c r="AO66" s="49">
        <v>0</v>
      </c>
    </row>
    <row r="67" spans="5:41">
      <c r="AO67" s="49">
        <v>0</v>
      </c>
    </row>
    <row r="72" spans="5:41">
      <c r="E72" s="4"/>
    </row>
    <row r="74" spans="5:41">
      <c r="E74" s="8"/>
    </row>
    <row r="75" spans="5:41">
      <c r="E75" s="9"/>
    </row>
    <row r="76" spans="5:41">
      <c r="E76" s="10"/>
    </row>
    <row r="77" spans="5:41">
      <c r="E77" s="9"/>
    </row>
    <row r="78" spans="5:41">
      <c r="E78" s="10"/>
    </row>
    <row r="79" spans="5:41">
      <c r="E79" s="9"/>
    </row>
    <row r="80" spans="5:41">
      <c r="E80" s="10"/>
    </row>
    <row r="81" spans="5:5">
      <c r="E81" s="9"/>
    </row>
    <row r="82" spans="5:5">
      <c r="E82" s="10"/>
    </row>
    <row r="86" spans="5:5" ht="31.2">
      <c r="E86" s="11"/>
    </row>
    <row r="91" spans="5:5">
      <c r="E91" s="9"/>
    </row>
    <row r="92" spans="5:5">
      <c r="E92" s="10"/>
    </row>
    <row r="93" spans="5:5">
      <c r="E93" s="9"/>
    </row>
    <row r="94" spans="5:5">
      <c r="E94" s="10"/>
    </row>
    <row r="95" spans="5:5">
      <c r="E95" s="9"/>
    </row>
    <row r="96" spans="5:5">
      <c r="E96" s="10"/>
    </row>
    <row r="97" spans="5:5">
      <c r="E97" s="9"/>
    </row>
    <row r="98" spans="5:5">
      <c r="E98" s="10"/>
    </row>
    <row r="104" spans="5:5" ht="31.2">
      <c r="E104" s="11"/>
    </row>
    <row r="107" spans="5:5">
      <c r="E107" s="9"/>
    </row>
    <row r="108" spans="5:5">
      <c r="E108" s="9"/>
    </row>
    <row r="109" spans="5:5">
      <c r="E109" s="9"/>
    </row>
    <row r="110" spans="5:5">
      <c r="E110" s="9"/>
    </row>
    <row r="111" spans="5:5">
      <c r="E111" s="9"/>
    </row>
    <row r="112" spans="5:5">
      <c r="E112" s="9"/>
    </row>
    <row r="116" spans="5:5" ht="31.2">
      <c r="E116" s="11"/>
    </row>
    <row r="117" spans="5:5">
      <c r="E117" s="9"/>
    </row>
    <row r="118" spans="5:5">
      <c r="E118" s="10"/>
    </row>
    <row r="119" spans="5:5">
      <c r="E119" s="9"/>
    </row>
    <row r="120" spans="5:5">
      <c r="E120" s="10"/>
    </row>
    <row r="121" spans="5:5">
      <c r="E121" s="9"/>
    </row>
    <row r="122" spans="5:5">
      <c r="E122" s="10"/>
    </row>
    <row r="123" spans="5:5">
      <c r="E123" s="9"/>
    </row>
    <row r="124" spans="5:5">
      <c r="E124" s="10"/>
    </row>
    <row r="125" spans="5:5">
      <c r="E125" s="9"/>
    </row>
    <row r="126" spans="5:5">
      <c r="E126" s="10"/>
    </row>
    <row r="130" spans="5:5" ht="31.2">
      <c r="E130" s="11"/>
    </row>
    <row r="133" spans="5:5">
      <c r="E133" s="9"/>
    </row>
    <row r="134" spans="5:5">
      <c r="E134" s="9"/>
    </row>
    <row r="135" spans="5:5">
      <c r="E135" s="9"/>
    </row>
    <row r="136" spans="5:5">
      <c r="E136" s="9"/>
    </row>
    <row r="137" spans="5:5">
      <c r="E137" s="9"/>
    </row>
    <row r="138" spans="5:5">
      <c r="E138" s="9"/>
    </row>
    <row r="139" spans="5:5">
      <c r="E139" s="9"/>
    </row>
    <row r="140" spans="5:5">
      <c r="E140" s="9"/>
    </row>
    <row r="141" spans="5:5">
      <c r="E141" s="9"/>
    </row>
    <row r="142" spans="5:5">
      <c r="E142" s="9"/>
    </row>
    <row r="154" spans="5:5" ht="31.2">
      <c r="E154" s="11"/>
    </row>
    <row r="159" spans="5:5">
      <c r="E159" s="9"/>
    </row>
    <row r="160" spans="5:5">
      <c r="E160" s="9"/>
    </row>
    <row r="161" spans="5:5">
      <c r="E161" s="9"/>
    </row>
    <row r="162" spans="5:5">
      <c r="E162" s="9"/>
    </row>
    <row r="163" spans="5:5">
      <c r="E163" s="9"/>
    </row>
    <row r="164" spans="5:5">
      <c r="E164" s="9"/>
    </row>
    <row r="165" spans="5:5">
      <c r="E165" s="9"/>
    </row>
    <row r="166" spans="5:5">
      <c r="E166" s="9"/>
    </row>
    <row r="167" spans="5:5">
      <c r="E167" s="9"/>
    </row>
    <row r="168" spans="5:5">
      <c r="E168" s="9"/>
    </row>
    <row r="169" spans="5:5">
      <c r="E169" s="9"/>
    </row>
    <row r="170" spans="5:5">
      <c r="E170" s="9"/>
    </row>
    <row r="171" spans="5:5">
      <c r="E171" s="9"/>
    </row>
    <row r="172" spans="5:5">
      <c r="E172" s="9"/>
    </row>
    <row r="177" spans="5:5">
      <c r="E177" s="9"/>
    </row>
    <row r="178" spans="5:5">
      <c r="E178" s="9"/>
    </row>
    <row r="179" spans="5:5">
      <c r="E179" s="9"/>
    </row>
    <row r="180" spans="5:5">
      <c r="E180" s="9"/>
    </row>
    <row r="181" spans="5:5">
      <c r="E181" s="9"/>
    </row>
    <row r="182" spans="5:5">
      <c r="E182" s="9"/>
    </row>
    <row r="188" spans="5:5" ht="31.2">
      <c r="E188" s="11"/>
    </row>
    <row r="191" spans="5:5">
      <c r="E191" s="9"/>
    </row>
    <row r="192" spans="5:5">
      <c r="E192" s="9"/>
    </row>
    <row r="193" spans="5:5">
      <c r="E193" s="9"/>
    </row>
    <row r="194" spans="5:5">
      <c r="E194" s="9"/>
    </row>
    <row r="195" spans="5:5">
      <c r="E195" s="9"/>
    </row>
    <row r="196" spans="5:5">
      <c r="E196" s="9"/>
    </row>
    <row r="197" spans="5:5">
      <c r="E197" s="9"/>
    </row>
    <row r="198" spans="5:5">
      <c r="E198" s="9"/>
    </row>
    <row r="199" spans="5:5">
      <c r="E199" s="9"/>
    </row>
    <row r="200" spans="5:5">
      <c r="E200" s="9"/>
    </row>
    <row r="201" spans="5:5">
      <c r="E201" s="9"/>
    </row>
    <row r="202" spans="5:5">
      <c r="E202" s="9"/>
    </row>
    <row r="207" spans="5:5">
      <c r="E207" s="9"/>
    </row>
    <row r="208" spans="5:5">
      <c r="E208" s="9"/>
    </row>
    <row r="209" spans="5:5">
      <c r="E209" s="9"/>
    </row>
    <row r="210" spans="5:5">
      <c r="E210" s="9"/>
    </row>
    <row r="211" spans="5:5">
      <c r="E211" s="9"/>
    </row>
    <row r="212" spans="5:5">
      <c r="E212" s="9"/>
    </row>
    <row r="213" spans="5:5">
      <c r="E213" s="9"/>
    </row>
    <row r="214" spans="5:5">
      <c r="E214" s="9"/>
    </row>
    <row r="215" spans="5:5">
      <c r="E215" s="9"/>
    </row>
    <row r="216" spans="5:5">
      <c r="E216" s="9"/>
    </row>
    <row r="217" spans="5:5">
      <c r="E217" s="9"/>
    </row>
    <row r="218" spans="5:5">
      <c r="E218" s="9"/>
    </row>
    <row r="219" spans="5:5">
      <c r="E219" s="9"/>
    </row>
    <row r="220" spans="5:5">
      <c r="E220" s="9"/>
    </row>
    <row r="221" spans="5:5">
      <c r="E221" s="9"/>
    </row>
    <row r="222" spans="5:5">
      <c r="E222" s="9"/>
    </row>
    <row r="223" spans="5:5">
      <c r="E223" s="9"/>
    </row>
    <row r="224" spans="5:5">
      <c r="E224" s="9"/>
    </row>
    <row r="225" spans="5:5">
      <c r="E225" s="9"/>
    </row>
    <row r="226" spans="5:5">
      <c r="E226" s="9"/>
    </row>
    <row r="227" spans="5:5">
      <c r="E227" s="9"/>
    </row>
    <row r="228" spans="5:5">
      <c r="E228" s="9"/>
    </row>
    <row r="232" spans="5:5" ht="31.2">
      <c r="E232" s="11"/>
    </row>
    <row r="237" spans="5:5">
      <c r="E237" s="9"/>
    </row>
    <row r="238" spans="5:5">
      <c r="E238" s="9"/>
    </row>
    <row r="239" spans="5:5">
      <c r="E239" s="9"/>
    </row>
    <row r="240" spans="5:5">
      <c r="E240" s="9"/>
    </row>
    <row r="241" spans="5:5">
      <c r="E241" s="9"/>
    </row>
    <row r="242" spans="5:5">
      <c r="E242" s="9"/>
    </row>
    <row r="243" spans="5:5">
      <c r="E243" s="9"/>
    </row>
    <row r="244" spans="5:5">
      <c r="E244" s="9"/>
    </row>
    <row r="248" spans="5:5" ht="31.2">
      <c r="E248" s="11"/>
    </row>
    <row r="262" spans="5:5" ht="31.2">
      <c r="E262" s="11"/>
    </row>
    <row r="265" spans="5:5">
      <c r="E265" s="9"/>
    </row>
    <row r="266" spans="5:5">
      <c r="E266" s="9"/>
    </row>
    <row r="267" spans="5:5">
      <c r="E267" s="9"/>
    </row>
    <row r="268" spans="5:5">
      <c r="E268" s="9"/>
    </row>
    <row r="269" spans="5:5">
      <c r="E269" s="9"/>
    </row>
    <row r="270" spans="5:5">
      <c r="E270" s="9"/>
    </row>
    <row r="271" spans="5:5">
      <c r="E271" s="9"/>
    </row>
    <row r="272" spans="5:5">
      <c r="E272" s="9"/>
    </row>
    <row r="276" spans="5:5" ht="31.2">
      <c r="E276" s="11"/>
    </row>
    <row r="279" spans="5:5">
      <c r="E279" s="9"/>
    </row>
    <row r="280" spans="5:5">
      <c r="E280" s="10"/>
    </row>
    <row r="281" spans="5:5">
      <c r="E281" s="9"/>
    </row>
    <row r="282" spans="5:5">
      <c r="E282" s="10"/>
    </row>
    <row r="283" spans="5:5">
      <c r="E283" s="9"/>
    </row>
    <row r="284" spans="5:5">
      <c r="E284" s="10"/>
    </row>
    <row r="285" spans="5:5">
      <c r="E285" s="9"/>
    </row>
    <row r="286" spans="5:5">
      <c r="E286" s="10"/>
    </row>
    <row r="290" spans="5:5" ht="31.2">
      <c r="E290" s="11"/>
    </row>
    <row r="293" spans="5:5">
      <c r="E293" s="9"/>
    </row>
    <row r="294" spans="5:5">
      <c r="E294" s="9"/>
    </row>
    <row r="295" spans="5:5">
      <c r="E295" s="9"/>
    </row>
    <row r="296" spans="5:5">
      <c r="E296" s="9"/>
    </row>
    <row r="297" spans="5:5">
      <c r="E297" s="9"/>
    </row>
    <row r="298" spans="5:5">
      <c r="E298" s="9"/>
    </row>
    <row r="299" spans="5:5">
      <c r="E299" s="9"/>
    </row>
    <row r="300" spans="5:5">
      <c r="E300" s="9"/>
    </row>
    <row r="301" spans="5:5">
      <c r="E301" s="9"/>
    </row>
    <row r="302" spans="5:5">
      <c r="E302" s="9"/>
    </row>
    <row r="305" spans="5:5">
      <c r="E305" s="9"/>
    </row>
    <row r="306" spans="5:5">
      <c r="E306" s="9"/>
    </row>
    <row r="307" spans="5:5">
      <c r="E307" s="9"/>
    </row>
    <row r="308" spans="5:5">
      <c r="E308" s="9"/>
    </row>
    <row r="309" spans="5:5">
      <c r="E309" s="9"/>
    </row>
    <row r="310" spans="5:5">
      <c r="E310" s="9"/>
    </row>
    <row r="314" spans="5:5" ht="31.2">
      <c r="E314" s="11"/>
    </row>
    <row r="317" spans="5:5">
      <c r="E317" s="9"/>
    </row>
    <row r="318" spans="5:5">
      <c r="E318" s="9"/>
    </row>
    <row r="319" spans="5:5">
      <c r="E319" s="9"/>
    </row>
    <row r="320" spans="5:5">
      <c r="E320" s="9"/>
    </row>
    <row r="321" spans="5:5">
      <c r="E321" s="9"/>
    </row>
    <row r="322" spans="5:5">
      <c r="E322" s="9"/>
    </row>
    <row r="323" spans="5:5">
      <c r="E323" s="9"/>
    </row>
    <row r="324" spans="5:5">
      <c r="E324" s="9"/>
    </row>
    <row r="325" spans="5:5">
      <c r="E325" s="9"/>
    </row>
    <row r="326" spans="5:5">
      <c r="E326" s="9"/>
    </row>
    <row r="327" spans="5:5">
      <c r="E327" s="9"/>
    </row>
    <row r="328" spans="5:5">
      <c r="E328" s="9"/>
    </row>
    <row r="332" spans="5:5" ht="31.2">
      <c r="E332" s="11"/>
    </row>
    <row r="335" spans="5:5">
      <c r="E335" s="9"/>
    </row>
    <row r="336" spans="5:5">
      <c r="E336" s="9"/>
    </row>
    <row r="337" spans="5:5">
      <c r="E337" s="9"/>
    </row>
    <row r="338" spans="5:5">
      <c r="E338" s="9"/>
    </row>
    <row r="339" spans="5:5">
      <c r="E339" s="9"/>
    </row>
    <row r="340" spans="5:5">
      <c r="E340" s="9"/>
    </row>
    <row r="341" spans="5:5">
      <c r="E341" s="9"/>
    </row>
    <row r="342" spans="5:5">
      <c r="E342" s="9"/>
    </row>
    <row r="346" spans="5:5" ht="31.2">
      <c r="E346" s="11"/>
    </row>
    <row r="362" spans="5:5" ht="31.2">
      <c r="E362" s="11"/>
    </row>
    <row r="365" spans="5:5">
      <c r="E365" s="9"/>
    </row>
    <row r="366" spans="5:5">
      <c r="E366" s="9"/>
    </row>
    <row r="367" spans="5:5">
      <c r="E367" s="9"/>
    </row>
    <row r="368" spans="5:5">
      <c r="E368" s="9"/>
    </row>
    <row r="369" spans="5:5">
      <c r="E369" s="9"/>
    </row>
    <row r="370" spans="5:5">
      <c r="E370" s="9"/>
    </row>
    <row r="371" spans="5:5">
      <c r="E371" s="9"/>
    </row>
    <row r="372" spans="5:5">
      <c r="E372" s="9"/>
    </row>
    <row r="373" spans="5:5">
      <c r="E373" s="9"/>
    </row>
    <row r="374" spans="5:5">
      <c r="E374" s="9"/>
    </row>
    <row r="375" spans="5:5">
      <c r="E375" s="9"/>
    </row>
    <row r="376" spans="5:5">
      <c r="E376" s="9"/>
    </row>
    <row r="379" spans="5:5">
      <c r="E379" s="9"/>
    </row>
    <row r="380" spans="5:5">
      <c r="E380" s="9"/>
    </row>
    <row r="381" spans="5:5">
      <c r="E381" s="9"/>
    </row>
    <row r="382" spans="5:5">
      <c r="E382" s="9"/>
    </row>
    <row r="383" spans="5:5">
      <c r="E383" s="9"/>
    </row>
    <row r="384" spans="5:5">
      <c r="E384" s="9"/>
    </row>
    <row r="385" spans="5:5">
      <c r="E385" s="9"/>
    </row>
    <row r="386" spans="5:5">
      <c r="E386" s="9"/>
    </row>
    <row r="387" spans="5:5">
      <c r="E387" s="9"/>
    </row>
    <row r="388" spans="5:5">
      <c r="E388" s="9"/>
    </row>
    <row r="389" spans="5:5">
      <c r="E389" s="9"/>
    </row>
    <row r="390" spans="5:5">
      <c r="E390" s="9"/>
    </row>
    <row r="393" spans="5:5">
      <c r="E393" s="9"/>
    </row>
    <row r="394" spans="5:5">
      <c r="E394" s="9"/>
    </row>
    <row r="395" spans="5:5">
      <c r="E395" s="9"/>
    </row>
    <row r="396" spans="5:5">
      <c r="E396" s="9"/>
    </row>
    <row r="397" spans="5:5">
      <c r="E397" s="9"/>
    </row>
    <row r="398" spans="5:5">
      <c r="E398" s="9"/>
    </row>
    <row r="399" spans="5:5">
      <c r="E399" s="9"/>
    </row>
    <row r="400" spans="5:5">
      <c r="E400" s="9"/>
    </row>
    <row r="401" spans="5:5">
      <c r="E401" s="9"/>
    </row>
    <row r="402" spans="5:5">
      <c r="E402" s="9"/>
    </row>
    <row r="406" spans="5:5" ht="31.2">
      <c r="E406" s="11"/>
    </row>
    <row r="409" spans="5:5">
      <c r="E409" s="9"/>
    </row>
    <row r="410" spans="5:5">
      <c r="E410" s="9"/>
    </row>
    <row r="411" spans="5:5">
      <c r="E411" s="9"/>
    </row>
    <row r="412" spans="5:5">
      <c r="E412" s="9"/>
    </row>
    <row r="413" spans="5:5">
      <c r="E413" s="9"/>
    </row>
    <row r="414" spans="5:5">
      <c r="E414" s="9"/>
    </row>
    <row r="415" spans="5:5">
      <c r="E415" s="9"/>
    </row>
    <row r="416" spans="5:5">
      <c r="E416" s="9"/>
    </row>
    <row r="417" spans="5:5">
      <c r="E417" s="9"/>
    </row>
    <row r="418" spans="5:5">
      <c r="E418" s="9"/>
    </row>
    <row r="419" spans="5:5">
      <c r="E419" s="9"/>
    </row>
    <row r="420" spans="5:5">
      <c r="E420" s="9"/>
    </row>
    <row r="421" spans="5:5">
      <c r="E421" s="9"/>
    </row>
    <row r="422" spans="5:5">
      <c r="E422" s="9"/>
    </row>
    <row r="428" spans="5:5" ht="31.2">
      <c r="E428" s="11"/>
    </row>
    <row r="431" spans="5:5">
      <c r="E431" s="9"/>
    </row>
    <row r="432" spans="5:5">
      <c r="E432" s="9"/>
    </row>
    <row r="433" spans="5:5">
      <c r="E433" s="9"/>
    </row>
    <row r="434" spans="5:5">
      <c r="E434" s="9"/>
    </row>
    <row r="435" spans="5:5">
      <c r="E435" s="9"/>
    </row>
    <row r="436" spans="5:5">
      <c r="E436" s="9"/>
    </row>
    <row r="437" spans="5:5">
      <c r="E437" s="9"/>
    </row>
    <row r="438" spans="5:5">
      <c r="E438" s="9"/>
    </row>
    <row r="439" spans="5:5">
      <c r="E439" s="9"/>
    </row>
    <row r="440" spans="5:5">
      <c r="E440" s="9"/>
    </row>
  </sheetData>
  <sortState xmlns:xlrd2="http://schemas.microsoft.com/office/spreadsheetml/2017/richdata2" ref="AP2:AQ17">
    <sortCondition ref="AP2:AP17"/>
  </sortState>
  <dataValidations count="1">
    <dataValidation type="list" allowBlank="1" showInputMessage="1" showErrorMessage="1" sqref="A2" xr:uid="{198D107B-FA82-4A52-A61C-6012118D398C}">
      <formula1>agency_list</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2" r:id="rId3" name="scroll_time_series">
              <controlPr defaultSize="0" autoPict="0">
                <anchor moveWithCells="1">
                  <from>
                    <xdr:col>5</xdr:col>
                    <xdr:colOff>7620</xdr:colOff>
                    <xdr:row>46</xdr:row>
                    <xdr:rowOff>190500</xdr:rowOff>
                  </from>
                  <to>
                    <xdr:col>10</xdr:col>
                    <xdr:colOff>0</xdr:colOff>
                    <xdr:row>48</xdr:row>
                    <xdr:rowOff>121920</xdr:rowOff>
                  </to>
                </anchor>
              </controlPr>
            </control>
          </mc:Choice>
        </mc:AlternateContent>
        <mc:AlternateContent xmlns:mc="http://schemas.openxmlformats.org/markup-compatibility/2006">
          <mc:Choice Requires="x14">
            <control shapeId="5126" r:id="rId4" name="spin_window_size">
              <controlPr defaultSize="0" autoPict="0">
                <anchor moveWithCells="1" sizeWithCells="1">
                  <from>
                    <xdr:col>3</xdr:col>
                    <xdr:colOff>350520</xdr:colOff>
                    <xdr:row>46</xdr:row>
                    <xdr:rowOff>0</xdr:rowOff>
                  </from>
                  <to>
                    <xdr:col>3</xdr:col>
                    <xdr:colOff>838200</xdr:colOff>
                    <xdr:row>48</xdr:row>
                    <xdr:rowOff>121920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66322-779D-48CB-9DEC-A0811713692F}">
  <sheetPr codeName="Sheet3">
    <tabColor theme="4" tint="0.59999389629810485"/>
  </sheetPr>
  <dimension ref="A1:F42"/>
  <sheetViews>
    <sheetView workbookViewId="0"/>
  </sheetViews>
  <sheetFormatPr defaultRowHeight="15.6"/>
  <cols>
    <col min="1" max="2" width="32.796875" bestFit="1" customWidth="1"/>
    <col min="4" max="4" width="30.796875" bestFit="1" customWidth="1"/>
    <col min="5" max="5" width="43" style="7" customWidth="1"/>
    <col min="6" max="6" width="57.69921875" bestFit="1" customWidth="1"/>
  </cols>
  <sheetData>
    <row r="1" spans="1:6">
      <c r="A1" s="4" t="s">
        <v>44</v>
      </c>
      <c r="B1" s="4" t="s">
        <v>45</v>
      </c>
      <c r="D1" t="s">
        <v>185</v>
      </c>
      <c r="E1" s="7" t="s">
        <v>187</v>
      </c>
      <c r="F1" t="s">
        <v>186</v>
      </c>
    </row>
    <row r="2" spans="1:6">
      <c r="A2" t="s">
        <v>6</v>
      </c>
      <c r="B2" t="s">
        <v>46</v>
      </c>
      <c r="D2" t="s">
        <v>139</v>
      </c>
      <c r="E2" t="s">
        <v>140</v>
      </c>
      <c r="F2" t="str">
        <f>Names_dictionary[[#This Row],[RefersTo]]</f>
        <v>=Visuals!$N$2#</v>
      </c>
    </row>
    <row r="3" spans="1:6">
      <c r="A3" t="s">
        <v>4</v>
      </c>
      <c r="B3" t="s">
        <v>4</v>
      </c>
      <c r="D3" t="s">
        <v>141</v>
      </c>
      <c r="E3" t="s">
        <v>188</v>
      </c>
      <c r="F3" t="str">
        <f>Names_dictionary[[#This Row],[RefersTo]]</f>
        <v>=Visuals!$AH$2#</v>
      </c>
    </row>
    <row r="4" spans="1:6">
      <c r="A4" t="s">
        <v>31</v>
      </c>
      <c r="B4" t="s">
        <v>31</v>
      </c>
      <c r="D4" t="s">
        <v>143</v>
      </c>
      <c r="E4" t="s">
        <v>153</v>
      </c>
      <c r="F4" t="str">
        <f>Names_dictionary[[#This Row],[RefersTo]]</f>
        <v>=Visuals!$AN$2#</v>
      </c>
    </row>
    <row r="5" spans="1:6">
      <c r="A5" t="s">
        <v>20</v>
      </c>
      <c r="B5" t="s">
        <v>31</v>
      </c>
      <c r="D5" t="s">
        <v>144</v>
      </c>
      <c r="E5" t="s">
        <v>156</v>
      </c>
      <c r="F5" t="str">
        <f>Names_dictionary[[#This Row],[RefersTo]]</f>
        <v>=Visuals!$AG$2#</v>
      </c>
    </row>
    <row r="6" spans="1:6">
      <c r="A6" t="s">
        <v>30</v>
      </c>
      <c r="B6" t="s">
        <v>31</v>
      </c>
      <c r="D6" t="s">
        <v>146</v>
      </c>
      <c r="E6" t="s">
        <v>149</v>
      </c>
      <c r="F6" t="str">
        <f>Names_dictionary[[#This Row],[RefersTo]]</f>
        <v>=Visuals!$AM$2#</v>
      </c>
    </row>
    <row r="7" spans="1:6">
      <c r="A7" t="s">
        <v>16</v>
      </c>
      <c r="B7" t="s">
        <v>31</v>
      </c>
      <c r="D7" t="s">
        <v>148</v>
      </c>
      <c r="E7" t="s">
        <v>189</v>
      </c>
      <c r="F7" t="str">
        <f>Names_dictionary[[#This Row],[RefersTo]]</f>
        <v>=Visuals!$AI$2#</v>
      </c>
    </row>
    <row r="8" spans="1:6">
      <c r="A8" t="s">
        <v>24</v>
      </c>
      <c r="B8" t="s">
        <v>48</v>
      </c>
      <c r="D8" t="s">
        <v>150</v>
      </c>
      <c r="E8" t="s">
        <v>142</v>
      </c>
      <c r="F8" t="str">
        <f>Names_dictionary[[#This Row],[RefersTo]]</f>
        <v>=Visuals!$AL$2#</v>
      </c>
    </row>
    <row r="9" spans="1:6">
      <c r="A9" t="s">
        <v>21</v>
      </c>
      <c r="B9" t="s">
        <v>21</v>
      </c>
      <c r="D9" t="s">
        <v>152</v>
      </c>
      <c r="E9" t="s">
        <v>145</v>
      </c>
      <c r="F9" t="str">
        <f>Names_dictionary[[#This Row],[RefersTo]]</f>
        <v>=Visuals!$AK$2#</v>
      </c>
    </row>
    <row r="10" spans="1:6">
      <c r="A10" t="s">
        <v>34</v>
      </c>
      <c r="B10" t="s">
        <v>34</v>
      </c>
      <c r="D10" t="s">
        <v>154</v>
      </c>
      <c r="E10" t="s">
        <v>160</v>
      </c>
      <c r="F10" t="str">
        <f>Names_dictionary[[#This Row],[RefersTo]]</f>
        <v>=Visuals!$AC$2#</v>
      </c>
    </row>
    <row r="11" spans="1:6">
      <c r="A11" t="s">
        <v>8</v>
      </c>
      <c r="B11" t="s">
        <v>47</v>
      </c>
      <c r="D11" t="s">
        <v>155</v>
      </c>
      <c r="E11" t="s">
        <v>209</v>
      </c>
      <c r="F11" t="str">
        <f>Names_dictionary[[#This Row],[RefersTo]]</f>
        <v>=Visuals!$AQ$2#</v>
      </c>
    </row>
    <row r="12" spans="1:6">
      <c r="A12" t="s">
        <v>11</v>
      </c>
      <c r="B12" t="s">
        <v>11</v>
      </c>
      <c r="D12" t="s">
        <v>157</v>
      </c>
      <c r="E12" t="s">
        <v>158</v>
      </c>
      <c r="F12" t="str">
        <f>Names_dictionary[[#This Row],[RefersTo]]</f>
        <v>=Visuals!$M$3#</v>
      </c>
    </row>
    <row r="13" spans="1:6">
      <c r="A13" t="s">
        <v>27</v>
      </c>
      <c r="B13" t="s">
        <v>27</v>
      </c>
      <c r="D13" t="s">
        <v>190</v>
      </c>
      <c r="E13" t="s">
        <v>214</v>
      </c>
      <c r="F13" t="str">
        <f>Names_dictionary[[#This Row],[RefersTo]]</f>
        <v>=Visuals!$AO$1</v>
      </c>
    </row>
    <row r="14" spans="1:6">
      <c r="A14" t="s">
        <v>37</v>
      </c>
      <c r="B14" t="s">
        <v>11</v>
      </c>
      <c r="D14" t="s">
        <v>159</v>
      </c>
      <c r="E14" t="s">
        <v>151</v>
      </c>
      <c r="F14" t="str">
        <f>Names_dictionary[[#This Row],[RefersTo]]</f>
        <v>=Visuals!$AO$2#</v>
      </c>
    </row>
    <row r="15" spans="1:6">
      <c r="A15" t="s">
        <v>32</v>
      </c>
      <c r="B15" t="s">
        <v>32</v>
      </c>
      <c r="D15" t="s">
        <v>210</v>
      </c>
      <c r="E15" t="s">
        <v>215</v>
      </c>
      <c r="F15" t="str">
        <f>Names_dictionary[[#This Row],[RefersTo]]</f>
        <v xml:space="preserve">= Slice_311[Agency]  Slice_311[Duration]  Slice_311[Created Date]  selected_agency  window_start  window_end          SEQUENCE(ROWS(agencies))          (agencies = selected) *         (dates &gt;= start) *         (dates &lt;= end)          NA() </v>
      </c>
    </row>
    <row r="16" spans="1:6">
      <c r="A16" t="s">
        <v>29</v>
      </c>
      <c r="B16" t="s">
        <v>29</v>
      </c>
      <c r="D16" t="s">
        <v>161</v>
      </c>
      <c r="E16" t="s">
        <v>211</v>
      </c>
      <c r="F16" t="str">
        <f>Names_dictionary[[#This Row],[RefersTo]]</f>
        <v>=Visuals!$M:$AN</v>
      </c>
    </row>
    <row r="17" spans="1:6">
      <c r="A17" t="s">
        <v>33</v>
      </c>
      <c r="B17" t="s">
        <v>33</v>
      </c>
      <c r="D17" t="s">
        <v>162</v>
      </c>
      <c r="E17" t="s">
        <v>163</v>
      </c>
      <c r="F17" t="str">
        <f>Names_dictionary[[#This Row],[RefersTo]]</f>
        <v>=Visuals!$C$25</v>
      </c>
    </row>
    <row r="18" spans="1:6">
      <c r="A18" t="s">
        <v>28</v>
      </c>
      <c r="B18" t="s">
        <v>11</v>
      </c>
      <c r="D18" t="s">
        <v>164</v>
      </c>
      <c r="E18" t="s">
        <v>165</v>
      </c>
      <c r="F18" t="str">
        <f>Names_dictionary[[#This Row],[RefersTo]]</f>
        <v>=Visuals!$C$24</v>
      </c>
    </row>
    <row r="19" spans="1:6">
      <c r="A19" t="s">
        <v>36</v>
      </c>
      <c r="B19" t="s">
        <v>10</v>
      </c>
      <c r="D19" t="s">
        <v>166</v>
      </c>
      <c r="E19" t="s">
        <v>167</v>
      </c>
      <c r="F19" t="str">
        <f>Names_dictionary[[#This Row],[RefersTo]]</f>
        <v>=Visuals!$C$22</v>
      </c>
    </row>
    <row r="20" spans="1:6">
      <c r="A20" t="s">
        <v>10</v>
      </c>
      <c r="B20" t="s">
        <v>10</v>
      </c>
      <c r="D20" t="s">
        <v>168</v>
      </c>
      <c r="E20" t="s">
        <v>169</v>
      </c>
      <c r="F20" t="str">
        <f>Names_dictionary[[#This Row],[RefersTo]]</f>
        <v>=Visuals!$C$23</v>
      </c>
    </row>
    <row r="21" spans="1:6">
      <c r="A21" t="s">
        <v>38</v>
      </c>
      <c r="B21" t="s">
        <v>38</v>
      </c>
      <c r="D21" t="s">
        <v>170</v>
      </c>
      <c r="E21" t="s">
        <v>171</v>
      </c>
      <c r="F21" t="str">
        <f>Names_dictionary[[#This Row],[RefersTo]]</f>
        <v>=Visuals!$C$26</v>
      </c>
    </row>
    <row r="22" spans="1:6">
      <c r="A22" t="s">
        <v>14</v>
      </c>
      <c r="B22" t="s">
        <v>38</v>
      </c>
      <c r="D22" t="s">
        <v>172</v>
      </c>
      <c r="E22" t="s">
        <v>182</v>
      </c>
      <c r="F22" t="str">
        <f>Names_dictionary[[#This Row],[RefersTo]]</f>
        <v>=Visuals!$AE$2</v>
      </c>
    </row>
    <row r="23" spans="1:6">
      <c r="A23" t="s">
        <v>35</v>
      </c>
      <c r="B23" t="s">
        <v>38</v>
      </c>
      <c r="D23" t="s">
        <v>173</v>
      </c>
      <c r="E23" t="s">
        <v>174</v>
      </c>
      <c r="F23" t="str">
        <f>Names_dictionary[[#This Row],[RefersTo]]</f>
        <v>=Visuals!$A$2</v>
      </c>
    </row>
    <row r="24" spans="1:6">
      <c r="A24" t="s">
        <v>18</v>
      </c>
      <c r="B24" t="s">
        <v>38</v>
      </c>
      <c r="D24" t="s">
        <v>175</v>
      </c>
      <c r="E24" t="s">
        <v>191</v>
      </c>
      <c r="F24" t="str">
        <f>Names_dictionary[[#This Row],[RefersTo]]</f>
        <v>=Visuals!$AF$3</v>
      </c>
    </row>
    <row r="25" spans="1:6">
      <c r="A25" t="s">
        <v>111</v>
      </c>
      <c r="B25" t="s">
        <v>111</v>
      </c>
      <c r="D25" t="s">
        <v>176</v>
      </c>
      <c r="E25" t="s">
        <v>192</v>
      </c>
      <c r="F25" t="str">
        <f>Names_dictionary[[#This Row],[RefersTo]]</f>
        <v>=Visuals!$AF$4</v>
      </c>
    </row>
    <row r="26" spans="1:6">
      <c r="A26" t="s">
        <v>112</v>
      </c>
      <c r="B26" t="s">
        <v>38</v>
      </c>
      <c r="D26" t="s">
        <v>177</v>
      </c>
      <c r="E26" t="s">
        <v>193</v>
      </c>
      <c r="F26" t="str">
        <f>Names_dictionary[[#This Row],[RefersTo]]</f>
        <v>=Visuals!$AF$2</v>
      </c>
    </row>
    <row r="27" spans="1:6">
      <c r="A27" t="s">
        <v>114</v>
      </c>
      <c r="B27" t="s">
        <v>38</v>
      </c>
      <c r="D27" t="s">
        <v>194</v>
      </c>
      <c r="E27" t="s">
        <v>195</v>
      </c>
      <c r="F27" t="str">
        <f>Names_dictionary[[#This Row],[RefersTo]]</f>
        <v>=Visuals!$AF$5</v>
      </c>
    </row>
    <row r="28" spans="1:6">
      <c r="A28" t="s">
        <v>115</v>
      </c>
      <c r="B28" t="s">
        <v>38</v>
      </c>
      <c r="D28" t="s">
        <v>178</v>
      </c>
      <c r="E28" t="s">
        <v>147</v>
      </c>
      <c r="F28" t="str">
        <f>Names_dictionary[[#This Row],[RefersTo]]</f>
        <v>=Visuals!$AP$2#</v>
      </c>
    </row>
    <row r="29" spans="1:6">
      <c r="A29" t="s">
        <v>116</v>
      </c>
      <c r="B29" t="s">
        <v>46</v>
      </c>
      <c r="D29" t="s">
        <v>179</v>
      </c>
      <c r="E29" t="s">
        <v>180</v>
      </c>
      <c r="F29" t="str">
        <f>Names_dictionary[[#This Row],[RefersTo]]</f>
        <v>=MAX(window_dates)</v>
      </c>
    </row>
    <row r="30" spans="1:6">
      <c r="A30" t="s">
        <v>117</v>
      </c>
      <c r="B30" t="s">
        <v>38</v>
      </c>
      <c r="D30" t="s">
        <v>181</v>
      </c>
      <c r="E30" t="s">
        <v>196</v>
      </c>
      <c r="F30" t="str">
        <f>Names_dictionary[[#This Row],[RefersTo]]</f>
        <v>=Visuals!$AD$2</v>
      </c>
    </row>
    <row r="31" spans="1:6">
      <c r="A31" t="s">
        <v>118</v>
      </c>
      <c r="B31" t="s">
        <v>32</v>
      </c>
      <c r="D31" t="s">
        <v>183</v>
      </c>
      <c r="E31" t="s">
        <v>184</v>
      </c>
      <c r="F31" t="str">
        <f>Names_dictionary[[#This Row],[RefersTo]]</f>
        <v>=MIN(window_dates)</v>
      </c>
    </row>
    <row r="32" spans="1:6">
      <c r="A32" t="s">
        <v>119</v>
      </c>
      <c r="B32" t="s">
        <v>31</v>
      </c>
    </row>
    <row r="33" spans="1:2">
      <c r="A33" t="s">
        <v>120</v>
      </c>
      <c r="B33" t="s">
        <v>33</v>
      </c>
    </row>
    <row r="34" spans="1:2">
      <c r="A34" t="s">
        <v>113</v>
      </c>
      <c r="B34" t="s">
        <v>11</v>
      </c>
    </row>
    <row r="35" spans="1:2">
      <c r="A35" t="s">
        <v>121</v>
      </c>
      <c r="B35" t="s">
        <v>38</v>
      </c>
    </row>
    <row r="36" spans="1:2">
      <c r="A36" t="s">
        <v>122</v>
      </c>
      <c r="B36" t="s">
        <v>11</v>
      </c>
    </row>
    <row r="37" spans="1:2">
      <c r="A37" t="s">
        <v>123</v>
      </c>
      <c r="B37" t="s">
        <v>38</v>
      </c>
    </row>
    <row r="38" spans="1:2">
      <c r="A38" t="s">
        <v>124</v>
      </c>
      <c r="B38" t="s">
        <v>11</v>
      </c>
    </row>
    <row r="39" spans="1:2">
      <c r="A39" t="s">
        <v>125</v>
      </c>
      <c r="B39" t="s">
        <v>38</v>
      </c>
    </row>
    <row r="40" spans="1:2">
      <c r="A40" t="s">
        <v>126</v>
      </c>
      <c r="B40" t="s">
        <v>21</v>
      </c>
    </row>
    <row r="41" spans="1:2">
      <c r="B41" t="s">
        <v>128</v>
      </c>
    </row>
    <row r="42" spans="1:2">
      <c r="A42" t="s">
        <v>127</v>
      </c>
      <c r="B42" t="s">
        <v>11</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6AD064-3165-408A-96E4-859CD1C132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README</vt:lpstr>
      <vt:lpstr>Documentation</vt:lpstr>
      <vt:lpstr>Slice_311</vt:lpstr>
      <vt:lpstr>Visuals</vt:lpstr>
      <vt:lpstr>LOOKUPS</vt:lpstr>
      <vt:lpstr>Duration_header</vt:lpstr>
      <vt:lpstr>helper_zone</vt:lpstr>
      <vt:lpstr>kpi_count</vt:lpstr>
      <vt:lpstr>kpi_max</vt:lpstr>
      <vt:lpstr>kpi_mean</vt:lpstr>
      <vt:lpstr>kpi_median</vt:lpstr>
      <vt:lpstr>kpi_pct_open</vt:lpstr>
      <vt:lpstr>scroll_position</vt:lpstr>
      <vt:lpstr>selected_agency</vt:lpstr>
      <vt:lpstr>title_box_and_whisker</vt:lpstr>
      <vt:lpstr>title_daily_volume</vt:lpstr>
      <vt:lpstr>title_histogram</vt:lpstr>
      <vt:lpstr>title_volume_by_agency</vt:lpstr>
      <vt:lpstr>window_size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Davis</dc:creator>
  <cp:lastModifiedBy>Roger Davis</cp:lastModifiedBy>
  <dcterms:created xsi:type="dcterms:W3CDTF">2026-03-04T08:40:26Z</dcterms:created>
  <dcterms:modified xsi:type="dcterms:W3CDTF">2026-03-25T19:26:39Z</dcterms:modified>
</cp:coreProperties>
</file>